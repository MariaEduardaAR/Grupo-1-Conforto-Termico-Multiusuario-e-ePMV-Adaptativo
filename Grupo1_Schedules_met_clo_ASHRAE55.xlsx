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_G2" sheetId="1" state="visible" r:id="rId2"/>
    <sheet name="Percepcao" sheetId="2" state="visible" r:id="rId3"/>
    <sheet name="Param_Respondentes" sheetId="3" state="visible" r:id="rId4"/>
    <sheet name="Tabelas_ASHRAE" sheetId="4" state="visible" r:id="rId5"/>
    <sheet name="Premissas_e_Lacuna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<sst xmlns="http://schemas.openxmlformats.org/spreadsheetml/2006/main" count="426" uniqueCount="170">
  <si>
    <t xml:space="preserve">Entregável Grupo 1 → Grupo 2: schedule de ocupação, met e clo por zona (R1–R6) e faixa horária</t>
  </si>
  <si>
    <t xml:space="preserve">met: ASHRAE 55 Tab. 5-1 (atividade). clo: Iclo = Σ peças (ASHRAE 55 Tab. 5-2) + roupa íntima 0,04. Valores = média dos respondentes da zona/faixa, em 4 dias de coleta (28/09 a 01/10/2026).</t>
  </si>
  <si>
    <t xml:space="preserve">Zona</t>
  </si>
  <si>
    <t xml:space="preserve">Faixa horária</t>
  </si>
  <si>
    <t xml:space="preserve">Janela real das respostas</t>
  </si>
  <si>
    <t xml:space="preserve">Respondentes (n)</t>
  </si>
  <si>
    <t xml:space="preserve">Ocupantes (contagem real)</t>
  </si>
  <si>
    <t xml:space="preserve">met</t>
  </si>
  <si>
    <t xml:space="preserve">Iclo (clo)</t>
  </si>
  <si>
    <t xml:space="preserve">Origem do valor</t>
  </si>
  <si>
    <t xml:space="preserve">R1</t>
  </si>
  <si>
    <t xml:space="preserve">Manhã (10h)</t>
  </si>
  <si>
    <t xml:space="preserve">10:32–10:49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</si>
  <si>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</si>
  <si>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</si>
  <si>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</si>
  <si>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</si>
  <si>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</si>
  <si>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Tarde 1 (13:30)</t>
  </si>
  <si>
    <t xml:space="preserve">14:21–15:18</t>
  </si>
  <si>
    <t xml:space="preserve">Tarde 2 (15:30)</t>
  </si>
  <si>
    <t xml:space="preserve">15:41–16:55</t>
  </si>
  <si>
    <t xml:space="preserve">Valores globais (40 respondentes)</t>
  </si>
  <si>
    <t xml:space="preserve">met médio</t>
  </si>
  <si>
    <t xml:space="preserve">Iclo médio</t>
  </si>
  <si>
    <t xml:space="preserve">Percepção térmica por zona e faixa (escala de 7 pontos da ASHRAE 55) — insumo para validação do ePMV</t>
  </si>
  <si>
    <t xml:space="preserve">TSV: -3 muito frio … 0 neutro … +3 muito quente. "Dentro de ±1" = proporção de votos entre -1 e +1. Zonas sem respondentes ficam em branco.</t>
  </si>
  <si>
    <t xml:space="preserve">n</t>
  </si>
  <si>
    <t xml:space="preserve">TSV médio</t>
  </si>
  <si>
    <t xml:space="preserve">% votos em -1…+1</t>
  </si>
  <si>
    <t xml:space="preserve">% prefere mais frio</t>
  </si>
  <si>
    <t xml:space="preserve">% prefere mais quente</t>
  </si>
  <si>
    <t xml:space="preserve">Satisfação média (-3…+3)</t>
  </si>
  <si>
    <t xml:space="preserve">Geral</t>
  </si>
  <si>
    <t xml:space="preserve">Todas</t>
  </si>
  <si>
    <t xml:space="preserve">Parâmetros por respondente (anonimizado) — já convertidos para as grandezas da ASHRAE 55; não contém respostas brutas</t>
  </si>
  <si>
    <t xml:space="preserve">ID</t>
  </si>
  <si>
    <t xml:space="preserve">Dia</t>
  </si>
  <si>
    <t xml:space="preserve">Faixa</t>
  </si>
  <si>
    <t xml:space="preserve">TSV (-3 a +3)</t>
  </si>
  <si>
    <t xml:space="preserve">Satisfação (-3 a +3)</t>
  </si>
  <si>
    <t xml:space="preserve">Preferência térmica</t>
  </si>
  <si>
    <t xml:space="preserve">P01</t>
  </si>
  <si>
    <t xml:space="preserve">28/09</t>
  </si>
  <si>
    <t xml:space="preserve">Sem mudança</t>
  </si>
  <si>
    <t xml:space="preserve">P02</t>
  </si>
  <si>
    <t xml:space="preserve">P03</t>
  </si>
  <si>
    <t xml:space="preserve">Mais frio</t>
  </si>
  <si>
    <t xml:space="preserve">P04</t>
  </si>
  <si>
    <t xml:space="preserve">P05</t>
  </si>
  <si>
    <t xml:space="preserve">P06</t>
  </si>
  <si>
    <t xml:space="preserve">P07</t>
  </si>
  <si>
    <t xml:space="preserve">P08</t>
  </si>
  <si>
    <t xml:space="preserve">P09</t>
  </si>
  <si>
    <t xml:space="preserve">29/09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</si>
  <si>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</si>
  <si>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</si>
  <si>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</si>
  <si>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</si>
  <si>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</si>
  <si>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</si>
  <si>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P16</t>
  </si>
  <si>
    <t xml:space="preserve">P17</t>
  </si>
  <si>
    <t xml:space="preserve">P18</t>
  </si>
  <si>
    <t xml:space="preserve">P19</t>
  </si>
  <si>
    <t xml:space="preserve">P20</t>
  </si>
  <si>
    <t xml:space="preserve">P21</t>
  </si>
  <si>
    <t xml:space="preserve">P22</t>
  </si>
  <si>
    <t xml:space="preserve">30/09</t>
  </si>
  <si>
    <t xml:space="preserve">Mais quente</t>
  </si>
  <si>
    <t xml:space="preserve">P23</t>
  </si>
  <si>
    <t xml:space="preserve">P24</t>
  </si>
  <si>
    <t xml:space="preserve">P25</t>
  </si>
  <si>
    <t xml:space="preserve">P26</t>
  </si>
  <si>
    <t xml:space="preserve">P27</t>
  </si>
  <si>
    <t xml:space="preserve">P28</t>
  </si>
  <si>
    <t xml:space="preserve">P29</t>
  </si>
  <si>
    <t xml:space="preserve">01/10</t>
  </si>
  <si>
    <t xml:space="preserve">P30</t>
  </si>
  <si>
    <t xml:space="preserve">P31</t>
  </si>
  <si>
    <t xml:space="preserve">P32</t>
  </si>
  <si>
    <t xml:space="preserve">P33</t>
  </si>
  <si>
    <t xml:space="preserve">P34</t>
  </si>
  <si>
    <t xml:space="preserve">P35</t>
  </si>
  <si>
    <t xml:space="preserve">P36</t>
  </si>
  <si>
    <t xml:space="preserve">P37</t>
  </si>
  <si>
    <t xml:space="preserve">P38</t>
  </si>
  <si>
    <t xml:space="preserve">P39</t>
  </si>
  <si>
    <t xml:space="preserve">P40</t>
  </si>
  <si>
    <t xml:space="preserve">Tabelas de conversão adotadas</t>
  </si>
  <si>
    <t xml:space="preserve">Resposta do questionário</t>
  </si>
  <si>
    <t xml:space="preserve">Valor</t>
  </si>
  <si>
    <t xml:space="preserve">Item da ASHRAE 55 usado</t>
  </si>
  <si>
    <t xml:space="preserve">Observação</t>
  </si>
  <si>
    <t xml:space="preserve">MET (Tab. 5-1)</t>
  </si>
  <si>
    <t xml:space="preserve">Sentado, estudando ou lendo</t>
  </si>
  <si>
    <t xml:space="preserve">Reading, seated</t>
  </si>
  <si>
    <t xml:space="preserve">Tabelado</t>
  </si>
  <si>
    <t xml:space="preserve">Sentado, assistindo aula</t>
  </si>
  <si>
    <t xml:space="preserve">Seated, quiet</t>
  </si>
  <si>
    <t xml:space="preserve">Sentado, conversando</t>
  </si>
  <si>
    <t xml:space="preserve">ASSUMIDO: conversa não tem linha própria</t>
  </si>
  <si>
    <t xml:space="preserve">Sentado, utilizando computador</t>
  </si>
  <si>
    <t xml:space="preserve">Typing</t>
  </si>
  <si>
    <t xml:space="preserve">Sentado, escrevendo ou fazendo anotações</t>
  </si>
  <si>
    <t xml:space="preserve">Writing</t>
  </si>
  <si>
    <t xml:space="preserve">Sentado, conversando e usando o computador</t>
  </si>
  <si>
    <t xml:space="preserve">ASSUMIDO: atividade predominante = computador</t>
  </si>
  <si>
    <t xml:space="preserve">Em pé, realizando atividade leve</t>
  </si>
  <si>
    <t xml:space="preserve">Filing, standing</t>
  </si>
  <si>
    <t xml:space="preserve">ASSUMIDO por analogia (n=1)</t>
  </si>
  <si>
    <t xml:space="preserve">CLO – parte superior (Tab. 5-2)</t>
  </si>
  <si>
    <t xml:space="preserve">Regata</t>
  </si>
  <si>
    <t xml:space="preserve">Sleeveless/scoop-neck blouse</t>
  </si>
  <si>
    <t xml:space="preserve">Camiseta / camisa manga curta</t>
  </si>
  <si>
    <t xml:space="preserve">Short-sleeve knit sport shirt</t>
  </si>
  <si>
    <t xml:space="preserve">Camisa "longa" de manga curta</t>
  </si>
  <si>
    <t xml:space="preserve">Short-sleeve dress shirt</t>
  </si>
  <si>
    <t xml:space="preserve">AMBÍGUO: se for manga longa, usar 0,25</t>
  </si>
  <si>
    <t xml:space="preserve">Camisa polo</t>
  </si>
  <si>
    <t xml:space="preserve">Camisa oversize</t>
  </si>
  <si>
    <t xml:space="preserve">ASSUMIDO: oversize tratada como camiseta</t>
  </si>
  <si>
    <t xml:space="preserve">Camisa de manga longa</t>
  </si>
  <si>
    <t xml:space="preserve">Long-sleeve dress shirt</t>
  </si>
  <si>
    <t xml:space="preserve">Casaco ou moletom (como peça principal)</t>
  </si>
  <si>
    <t xml:space="preserve">Long-sleeve sweatshirt</t>
  </si>
  <si>
    <t xml:space="preserve">CLO – parte inferior</t>
  </si>
  <si>
    <t xml:space="preserve">Calça jeans / tecido pesado</t>
  </si>
  <si>
    <t xml:space="preserve">Straight trousers (thick)</t>
  </si>
  <si>
    <t xml:space="preserve">Tabelado (pesado limitado ao teto da tabela)</t>
  </si>
  <si>
    <t xml:space="preserve">Calça tecido médio</t>
  </si>
  <si>
    <t xml:space="preserve">Média entre thin (0,15) e thick (0,24)</t>
  </si>
  <si>
    <t xml:space="preserve">ASSUMIDO: interpolação</t>
  </si>
  <si>
    <t xml:space="preserve">Calça leve</t>
  </si>
  <si>
    <t xml:space="preserve">Straight trousers (thin)</t>
  </si>
  <si>
    <t xml:space="preserve">Short</t>
  </si>
  <si>
    <t xml:space="preserve">Short shorts</t>
  </si>
  <si>
    <t xml:space="preserve">ASSUMIDO</t>
  </si>
  <si>
    <t xml:space="preserve">Bermuda</t>
  </si>
  <si>
    <t xml:space="preserve">Walking shorts</t>
  </si>
  <si>
    <t xml:space="preserve">CLO – camada adicional</t>
  </si>
  <si>
    <t xml:space="preserve">Jaqueta</t>
  </si>
  <si>
    <t xml:space="preserve">Single-breasted jacket (thin)</t>
  </si>
  <si>
    <t xml:space="preserve">Casaco ou moletom</t>
  </si>
  <si>
    <t xml:space="preserve">CLO – meias e calçados</t>
  </si>
  <si>
    <t xml:space="preserve">Meias curtas</t>
  </si>
  <si>
    <t xml:space="preserve">Ankle-length athletic socks</t>
  </si>
  <si>
    <t xml:space="preserve">Meias longas</t>
  </si>
  <si>
    <t xml:space="preserve">Calf-length socks</t>
  </si>
  <si>
    <t xml:space="preserve">ASSUMIDO: "longas" tratada como cano médio (joelho = 0,06)</t>
  </si>
  <si>
    <t xml:space="preserve">Sandália / chinelo</t>
  </si>
  <si>
    <t xml:space="preserve">Sandals/thongs</t>
  </si>
  <si>
    <t xml:space="preserve">Bota</t>
  </si>
  <si>
    <t xml:space="preserve">Boots</t>
  </si>
  <si>
    <t xml:space="preserve">Tênis / sapato fechado</t>
  </si>
  <si>
    <t xml:space="preserve">—</t>
  </si>
  <si>
    <t xml:space="preserve">ASSUMIDO: não tabelado; adotado igual ao calçado aberto</t>
  </si>
  <si>
    <t xml:space="preserve">Roupa íntima (não perguntada)</t>
  </si>
  <si>
    <t xml:space="preserve">Men's briefs</t>
  </si>
  <si>
    <t xml:space="preserve">ASSUMIDO: constante para todos</t>
  </si>
  <si>
    <t xml:space="preserve">Premissas, limitações e pendências</t>
  </si>
  <si>
    <t xml:space="preserve">1. Faixas horárias: definidas pelo horário real de envio no Forms (Manhã &lt;12h; Tarde 1 até 15:29; Tarde 2 a partir de 15:30). As respostas saíram entre ~10:32 e 16:55, mais tarde que os 13:30/15:30 nominais. Em 01/10 todas as respostas ficaram na Tarde 2.</t>
  </si>
  <si>
    <t xml:space="preserve">2. Ocupação: o questionário NÃO mede quantas pessoas há na sala. A coluna "Ocupantes (contagem real)" precisa ser preenchida com contagem presencial/lista de presença.</t>
  </si>
  <si>
    <t xml:space="preserve">3. Cobertura espacial: só há respostas em R1 (n=6), R2 (n=6), R5 (n=21) e R6 (n=7). R3 e R4 continuam sem dados; seus met/clo (e os de células vazias) são a média da faixa, sinalizado na coluna "Origem do valor".</t>
  </si>
  <si>
    <t xml:space="preserve">4. Amostra pequena (40 respostas, 4 dias; 12 delas em 01/10, todas na faixa Tarde 2): células com n&lt;3 são indicativas. Médias por zona/faixa não têm poder estatístico.</t>
  </si>
  <si>
    <t xml:space="preserve">5. Clo: soma das peças (ASHRAE 55) + 0,04 de roupa íntima. Cadeira (≈0,0–0,1 clo) não incluída. Para o único respondente com met 1,4, a ASHRAE 55 (Adendo f) pede clo_PMV = Iclo×(0,6+0,4/met) para met &gt; 1,2.</t>
  </si>
  <si>
    <t xml:space="preserve">6. met: média da última hora segundo a ASHRAE 55; o questionário pergunta os últimos 30 min. Dois respondentes relataram atividade física leve antes de entrar, mas já estavam na sala há mais de 1 h; mantidos.</t>
  </si>
  <si>
    <t xml:space="preserve">7. TSV: "Muito frio"=-3, "Frio"=-2, "Levemente frio"=-1, "Neutro"=0, "Levemente quente"=+1. Satisfação mapeada de -3 (muito insatisfeito) a +3 (muito satisfeito).</t>
  </si>
  <si>
    <t xml:space="preserve">8. Inconsistência a verificar: 7 dos 30 respondentes que sentem frio (TSV&lt;0) escolheram preferir a sala "mais fria". Pode ser erro de leitura da escala ou desejo de ar mais "gelado" por expectativa; vale checar antes de usar a preferência na validação.</t>
  </si>
  <si>
    <t xml:space="preserve">9. ePMV: ainda não calculado; depende de ta, tr, vel e rh por zona/horário, a serem fornecidos pela simulação (Grupo 2) e da formulação exata (expectativa + gap metabólico) definida pelo professor.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</si>
</sst>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%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E5" activeCellId="0" sqref="E5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38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5" customFormat="false" ht="31.5" hidden="false" customHeight="true" outlineLevel="0" collapsed="false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6" customFormat="false" ht="15" hidden="false" customHeight="false" outlineLevel="0" collapsed="false">
      <c r="A6" s="5" t="s">
        <v>10</v>
      </c>
      <c r="B6" s="6" t="s">
        <v>11</v>
      </c>
      <c r="C6" s="5" t="s">
        <v>12</v>
      </c>
      <c r="D6" s="5" t="n">
        <f aca="false">COUNTIFS(Param_Respondentes!$C$4:$C$43,B6,Param_Respondentes!$D$4:$D$43,A6)</f>
        <v>0</v>
      </c>
      <c r="E6" s="7"/>
      <c r="F6" s="8" t="n">
        <f aca="false">ROUND(IF(D6&gt;0,AVERAGEIFS(Param_Respondentes!$E$4:$E$43,Param_Respondentes!$C$4:$C$43,B6,Param_Respondentes!$D$4:$D$43,A6),AVERAGEIFS(Param_Respondentes!$E$4:$E$43,Param_Respondentes!$C$4:$C$43,B6)),2)</f>
        <v>1.04</v>
      </c>
      <c r="G6" s="8" t="n">
        <f aca="false">ROUND(IF(D6&gt;0,AVERAGEIFS(Param_Respondentes!$F$4:$F$43,Param_Respondentes!$C$4:$C$43,B6,Param_Respondentes!$D$4:$D$43,A6),AVERAGEIFS(Param_Respondentes!$F$4:$F$43,Param_Respondentes!$C$4:$C$43,B6)),2)</f>
        <v>0.43</v>
      </c>
      <c r="H6" s="6" t="str">
        <f aca="false">IF(D6=0,"SEM RESPONDENTES – média da faixa",IF(D6&lt;3,"Questionário (n baixo, &lt;3)","Questionário"))</f>
        <v>SEM RESPONDENTES – média da faixa</v>
      </c>
    </row>
    <row r="7" customFormat="false" ht="15" hidden="false" customHeight="false" outlineLevel="0" collapsed="false">
      <c r="A7" s="5" t="s">
        <v>13</v>
      </c>
      <c r="B7" s="6" t="s">
        <v>11</v>
      </c>
      <c r="C7" s="5" t="s">
        <v>12</v>
      </c>
      <c r="D7" s="5" t="n">
        <f aca="false">COUNTIFS(Param_Respondentes!$C$4:$C$43,B7,Param_Respondentes!$D$4:$D$43,A7)</f>
        <v>2</v>
      </c>
      <c r="E7" s="7"/>
      <c r="F7" s="8" t="n">
        <f aca="false">ROUND(IF(D7&gt;0,AVERAGEIFS(Param_Respondentes!$E$4:$E$43,Param_Respondentes!$C$4:$C$43,B7,Param_Respondentes!$D$4:$D$43,A7),AVERAGEIFS(Param_Respondentes!$E$4:$E$43,Param_Respondentes!$C$4:$C$43,B7)),2)</f>
        <v>1.05</v>
      </c>
      <c r="G7" s="8" t="n">
        <f aca="false">ROUND(IF(D7&gt;0,AVERAGEIFS(Param_Respondentes!$F$4:$F$43,Param_Respondentes!$C$4:$C$43,B7,Param_Respondentes!$D$4:$D$43,A7),AVERAGEIFS(Param_Respondentes!$F$4:$F$43,Param_Respondentes!$C$4:$C$43,B7)),2)</f>
        <v>0.42</v>
      </c>
      <c r="H7" s="6" t="str">
        <f aca="false">IF(D7=0,"SEM RESPONDENTES – média da faixa",IF(D7&lt;3,"Questionário (n baixo, &lt;3)","Questionário"))</f>
        <v>Questionário (n baixo, &lt;3)</v>
      </c>
    </row>
    <row r="8" customFormat="false" ht="15" hidden="false" customHeight="false" outlineLevel="0" collapsed="false">
      <c r="A8" s="5" t="s">
        <v>14</v>
      </c>
      <c r="B8" s="6" t="s">
        <v>11</v>
      </c>
      <c r="C8" s="5" t="s">
        <v>12</v>
      </c>
      <c r="D8" s="5" t="n">
        <f aca="false">COUNTIFS(Param_Respondentes!$C$4:$C$43,B8,Param_Respondentes!$D$4:$D$43,A8)</f>
        <v>0</v>
      </c>
      <c r="E8" s="7"/>
      <c r="F8" s="8" t="n">
        <f aca="false">ROUND(IF(D8&gt;0,AVERAGEIFS(Param_Respondentes!$E$4:$E$43,Param_Respondentes!$C$4:$C$43,B8,Param_Respondentes!$D$4:$D$43,A8),AVERAGEIFS(Param_Respondentes!$E$4:$E$43,Param_Respondentes!$C$4:$C$43,B8)),2)</f>
        <v>1.04</v>
      </c>
      <c r="G8" s="8" t="n">
        <f aca="false">ROUND(IF(D8&gt;0,AVERAGEIFS(Param_Respondentes!$F$4:$F$43,Param_Respondentes!$C$4:$C$43,B8,Param_Respondentes!$D$4:$D$43,A8),AVERAGEIFS(Param_Respondentes!$F$4:$F$43,Param_Respondentes!$C$4:$C$43,B8)),2)</f>
        <v>0.43</v>
      </c>
      <c r="H8" s="6" t="str">
        <f aca="false">IF(D8=0,"SEM RESPONDENTES – média da faixa",IF(D8&lt;3,"Questionário (n baixo, &lt;3)","Questionário"))</f>
        <v>SEM RESPONDENTES – média da faixa</v>
      </c>
    </row>
    <row r="9" customFormat="false" ht="15" hidden="false" customHeight="false" outlineLevel="0" collapsed="false">
      <c r="A9" s="5" t="s">
        <v>15</v>
      </c>
      <c r="B9" s="6" t="s">
        <v>11</v>
      </c>
      <c r="C9" s="5" t="s">
        <v>12</v>
      </c>
      <c r="D9" s="5" t="n">
        <f aca="false">COUNTIFS(Param_Respondentes!$C$4:$C$43,B9,Param_Respondentes!$D$4:$D$43,A9)</f>
        <v>0</v>
      </c>
      <c r="E9" s="7"/>
      <c r="F9" s="8" t="n">
        <f aca="false">ROUND(IF(D9&gt;0,AVERAGEIFS(Param_Respondentes!$E$4:$E$43,Param_Respondentes!$C$4:$C$43,B9,Param_Respondentes!$D$4:$D$43,A9),AVERAGEIFS(Param_Respondentes!$E$4:$E$43,Param_Respondentes!$C$4:$C$43,B9)),2)</f>
        <v>1.04</v>
      </c>
      <c r="G9" s="8" t="n">
        <f aca="false">ROUND(IF(D9&gt;0,AVERAGEIFS(Param_Respondentes!$F$4:$F$43,Param_Respondentes!$C$4:$C$43,B9,Param_Respondentes!$D$4:$D$43,A9),AVERAGEIFS(Param_Respondentes!$F$4:$F$43,Param_Respondentes!$C$4:$C$43,B9)),2)</f>
        <v>0.43</v>
      </c>
      <c r="H9" s="6" t="str">
        <f aca="false">IF(D9=0,"SEM RESPONDENTES – média da faixa",IF(D9&lt;3,"Questionário (n baixo, &lt;3)","Questionário"))</f>
        <v>SEM RESPONDENTES – média da faixa</v>
      </c>
    </row>
    <row r="10" customFormat="false" ht="15" hidden="false" customHeight="false" outlineLevel="0" collapsed="false">
      <c r="A10" s="5" t="s">
        <v>16</v>
      </c>
      <c r="B10" s="6" t="s">
        <v>11</v>
      </c>
      <c r="C10" s="5" t="s">
        <v>12</v>
      </c>
      <c r="D10" s="5" t="n">
        <f aca="false">COUNTIFS(Param_Respondentes!$C$4:$C$43,B10,Param_Respondentes!$D$4:$D$43,A10)</f>
        <v>4</v>
      </c>
      <c r="E10" s="7"/>
      <c r="F10" s="8" t="n">
        <f aca="false">ROUND(IF(D10&gt;0,AVERAGEIFS(Param_Respondentes!$E$4:$E$43,Param_Respondentes!$C$4:$C$43,B10,Param_Respondentes!$D$4:$D$43,A10),AVERAGEIFS(Param_Respondentes!$E$4:$E$43,Param_Respondentes!$C$4:$C$43,B10)),2)</f>
        <v>1.03</v>
      </c>
      <c r="G10" s="8" t="n">
        <f aca="false">ROUND(IF(D10&gt;0,AVERAGEIFS(Param_Respondentes!$F$4:$F$43,Param_Respondentes!$C$4:$C$43,B10,Param_Respondentes!$D$4:$D$43,A10),AVERAGEIFS(Param_Respondentes!$F$4:$F$43,Param_Respondentes!$C$4:$C$43,B10)),2)</f>
        <v>0.44</v>
      </c>
      <c r="H10" s="6" t="str">
        <f aca="false">IF(D10=0,"SEM RESPONDENTES – média da faixa",IF(D10&lt;3,"Questionário (n baixo, &lt;3)","Questionário"))</f>
        <v>Questionário</v>
      </c>
    </row>
    <row r="11" customFormat="false" ht="15" hidden="false" customHeight="false" outlineLevel="0" collapsed="false">
      <c r="A11" s="5" t="s">
        <v>17</v>
      </c>
      <c r="B11" s="6" t="s">
        <v>11</v>
      </c>
      <c r="C11" s="5" t="s">
        <v>12</v>
      </c>
      <c r="D11" s="5" t="n">
        <f aca="false">COUNTIFS(Param_Respondentes!$C$4:$C$43,B11,Param_Respondentes!$D$4:$D$43,A11)</f>
        <v>2</v>
      </c>
      <c r="E11" s="7"/>
      <c r="F11" s="8" t="n">
        <f aca="false">ROUND(IF(D11&gt;0,AVERAGEIFS(Param_Respondentes!$E$4:$E$43,Param_Respondentes!$C$4:$C$43,B11,Param_Respondentes!$D$4:$D$43,A11),AVERAGEIFS(Param_Respondentes!$E$4:$E$43,Param_Respondentes!$C$4:$C$43,B11)),2)</f>
        <v>1.05</v>
      </c>
      <c r="G11" s="8" t="n">
        <f aca="false">ROUND(IF(D11&gt;0,AVERAGEIFS(Param_Respondentes!$F$4:$F$43,Param_Respondentes!$C$4:$C$43,B11,Param_Respondentes!$D$4:$D$43,A11),AVERAGEIFS(Param_Respondentes!$F$4:$F$43,Param_Respondentes!$C$4:$C$43,B11)),2)</f>
        <v>0.41</v>
      </c>
      <c r="H11" s="6" t="str">
        <f aca="false">IF(D11=0,"SEM RESPONDENTES – média da faixa",IF(D11&lt;3,"Questionário (n baixo, &lt;3)","Questionário"))</f>
        <v>Questionário (n baixo, &lt;3)</v>
      </c>
    </row>
    <row r="12" customFormat="false" ht="15" hidden="false" customHeight="false" outlineLevel="0" collapsed="false">
      <c r="A12" s="5" t="s">
        <v>10</v>
      </c>
      <c r="B12" s="6" t="s">
        <v>18</v>
      </c>
      <c r="C12" s="5" t="s">
        <v>19</v>
      </c>
      <c r="D12" s="5" t="n">
        <f aca="false">COUNTIFS(Param_Respondentes!$C$4:$C$43,B12,Param_Respondentes!$D$4:$D$43,A12)</f>
        <v>0</v>
      </c>
      <c r="E12" s="7"/>
      <c r="F12" s="8" t="n">
        <f aca="false">ROUND(IF(D12&gt;0,AVERAGEIFS(Param_Respondentes!$E$4:$E$43,Param_Respondentes!$C$4:$C$43,B12,Param_Respondentes!$D$4:$D$43,A12),AVERAGEIFS(Param_Respondentes!$E$4:$E$43,Param_Respondentes!$C$4:$C$43,B12)),2)</f>
        <v>1.07</v>
      </c>
      <c r="G12" s="8" t="n">
        <f aca="false">ROUND(IF(D12&gt;0,AVERAGEIFS(Param_Respondentes!$F$4:$F$43,Param_Respondentes!$C$4:$C$43,B12,Param_Respondentes!$D$4:$D$43,A12),AVERAGEIFS(Param_Respondentes!$F$4:$F$43,Param_Respondentes!$C$4:$C$43,B12)),2)</f>
        <v>0.46</v>
      </c>
      <c r="H12" s="6" t="str">
        <f aca="false">IF(D12=0,"SEM RESPONDENTES – média da faixa",IF(D12&lt;3,"Questionário (n baixo, &lt;3)","Questionário"))</f>
        <v>SEM RESPONDENTES – média da faixa</v>
      </c>
    </row>
    <row r="13" customFormat="false" ht="15" hidden="false" customHeight="false" outlineLevel="0" collapsed="false">
      <c r="A13" s="5" t="s">
        <v>13</v>
      </c>
      <c r="B13" s="6" t="s">
        <v>18</v>
      </c>
      <c r="C13" s="5" t="s">
        <v>19</v>
      </c>
      <c r="D13" s="5" t="n">
        <f aca="false">COUNTIFS(Param_Respondentes!$C$4:$C$43,B13,Param_Respondentes!$D$4:$D$43,A13)</f>
        <v>0</v>
      </c>
      <c r="E13" s="7"/>
      <c r="F13" s="8" t="n">
        <f aca="false">ROUND(IF(D13&gt;0,AVERAGEIFS(Param_Respondentes!$E$4:$E$43,Param_Respondentes!$C$4:$C$43,B13,Param_Respondentes!$D$4:$D$43,A13),AVERAGEIFS(Param_Respondentes!$E$4:$E$43,Param_Respondentes!$C$4:$C$43,B13)),2)</f>
        <v>1.07</v>
      </c>
      <c r="G13" s="8" t="n">
        <f aca="false">ROUND(IF(D13&gt;0,AVERAGEIFS(Param_Respondentes!$F$4:$F$43,Param_Respondentes!$C$4:$C$43,B13,Param_Respondentes!$D$4:$D$43,A13),AVERAGEIFS(Param_Respondentes!$F$4:$F$43,Param_Respondentes!$C$4:$C$43,B13)),2)</f>
        <v>0.46</v>
      </c>
      <c r="H13" s="6" t="str">
        <f aca="false">IF(D13=0,"SEM RESPONDENTES – média da faixa",IF(D13&lt;3,"Questionário (n baixo, &lt;3)","Questionário"))</f>
        <v>SEM RESPONDENTES – média da faixa</v>
      </c>
    </row>
    <row r="14" customFormat="false" ht="15" hidden="false" customHeight="false" outlineLevel="0" collapsed="false">
      <c r="A14" s="5" t="s">
        <v>14</v>
      </c>
      <c r="B14" s="6" t="s">
        <v>18</v>
      </c>
      <c r="C14" s="5" t="s">
        <v>19</v>
      </c>
      <c r="D14" s="5" t="n">
        <f aca="false">COUNTIFS(Param_Respondentes!$C$4:$C$43,B14,Param_Respondentes!$D$4:$D$43,A14)</f>
        <v>0</v>
      </c>
      <c r="E14" s="7"/>
      <c r="F14" s="8" t="n">
        <f aca="false">ROUND(IF(D14&gt;0,AVERAGEIFS(Param_Respondentes!$E$4:$E$43,Param_Respondentes!$C$4:$C$43,B14,Param_Respondentes!$D$4:$D$43,A14),AVERAGEIFS(Param_Respondentes!$E$4:$E$43,Param_Respondentes!$C$4:$C$43,B14)),2)</f>
        <v>1.07</v>
      </c>
      <c r="G14" s="8" t="n">
        <f aca="false">ROUND(IF(D14&gt;0,AVERAGEIFS(Param_Respondentes!$F$4:$F$43,Param_Respondentes!$C$4:$C$43,B14,Param_Respondentes!$D$4:$D$43,A14),AVERAGEIFS(Param_Respondentes!$F$4:$F$43,Param_Respondentes!$C$4:$C$43,B14)),2)</f>
        <v>0.46</v>
      </c>
      <c r="H14" s="6" t="str">
        <f aca="false">IF(D14=0,"SEM RESPONDENTES – média da faixa",IF(D14&lt;3,"Questionário (n baixo, &lt;3)","Questionário"))</f>
        <v>SEM RESPONDENTES – média da faixa</v>
      </c>
    </row>
    <row r="15" customFormat="false" ht="15" hidden="false" customHeight="false" outlineLevel="0" collapsed="false">
      <c r="A15" s="5" t="s">
        <v>15</v>
      </c>
      <c r="B15" s="6" t="s">
        <v>18</v>
      </c>
      <c r="C15" s="5" t="s">
        <v>19</v>
      </c>
      <c r="D15" s="5" t="n">
        <f aca="false">COUNTIFS(Param_Respondentes!$C$4:$C$43,B15,Param_Respondentes!$D$4:$D$43,A15)</f>
        <v>0</v>
      </c>
      <c r="E15" s="7"/>
      <c r="F15" s="8" t="n">
        <f aca="false">ROUND(IF(D15&gt;0,AVERAGEIFS(Param_Respondentes!$E$4:$E$43,Param_Respondentes!$C$4:$C$43,B15,Param_Respondentes!$D$4:$D$43,A15),AVERAGEIFS(Param_Respondentes!$E$4:$E$43,Param_Respondentes!$C$4:$C$43,B15)),2)</f>
        <v>1.07</v>
      </c>
      <c r="G15" s="8" t="n">
        <f aca="false">ROUND(IF(D15&gt;0,AVERAGEIFS(Param_Respondentes!$F$4:$F$43,Param_Respondentes!$C$4:$C$43,B15,Param_Respondentes!$D$4:$D$43,A15),AVERAGEIFS(Param_Respondentes!$F$4:$F$43,Param_Respondentes!$C$4:$C$43,B15)),2)</f>
        <v>0.46</v>
      </c>
      <c r="H15" s="6" t="str">
        <f aca="false">IF(D15=0,"SEM RESPONDENTES – média da faixa",IF(D15&lt;3,"Questionário (n baixo, &lt;3)","Questionário"))</f>
        <v>SEM RESPONDENTES – média da faixa</v>
      </c>
    </row>
    <row r="16" customFormat="false" ht="15" hidden="false" customHeight="false" outlineLevel="0" collapsed="false">
      <c r="A16" s="5" t="s">
        <v>16</v>
      </c>
      <c r="B16" s="6" t="s">
        <v>18</v>
      </c>
      <c r="C16" s="5" t="s">
        <v>19</v>
      </c>
      <c r="D16" s="5" t="n">
        <f aca="false">COUNTIFS(Param_Respondentes!$C$4:$C$43,B16,Param_Respondentes!$D$4:$D$43,A16)</f>
        <v>7</v>
      </c>
      <c r="E16" s="7"/>
      <c r="F16" s="8" t="n">
        <f aca="false">ROUND(IF(D16&gt;0,AVERAGEIFS(Param_Respondentes!$E$4:$E$43,Param_Respondentes!$C$4:$C$43,B16,Param_Respondentes!$D$4:$D$43,A16),AVERAGEIFS(Param_Respondentes!$E$4:$E$43,Param_Respondentes!$C$4:$C$43,B16)),2)</f>
        <v>1.04</v>
      </c>
      <c r="G16" s="8" t="n">
        <f aca="false">ROUND(IF(D16&gt;0,AVERAGEIFS(Param_Respondentes!$F$4:$F$43,Param_Respondentes!$C$4:$C$43,B16,Param_Respondentes!$D$4:$D$43,A16),AVERAGEIFS(Param_Respondentes!$F$4:$F$43,Param_Respondentes!$C$4:$C$43,B16)),2)</f>
        <v>0.44</v>
      </c>
      <c r="H16" s="6" t="str">
        <f aca="false">IF(D16=0,"SEM RESPONDENTES – média da faixa",IF(D16&lt;3,"Questionário (n baixo, &lt;3)","Questionário"))</f>
        <v>Questionário</v>
      </c>
    </row>
    <row r="17" customFormat="false" ht="15" hidden="false" customHeight="false" outlineLevel="0" collapsed="false">
      <c r="A17" s="5" t="s">
        <v>17</v>
      </c>
      <c r="B17" s="6" t="s">
        <v>18</v>
      </c>
      <c r="C17" s="5" t="s">
        <v>19</v>
      </c>
      <c r="D17" s="5" t="n">
        <f aca="false">COUNTIFS(Param_Respondentes!$C$4:$C$43,B17,Param_Respondentes!$D$4:$D$43,A17)</f>
        <v>4</v>
      </c>
      <c r="E17" s="7"/>
      <c r="F17" s="8" t="n">
        <f aca="false">ROUND(IF(D17&gt;0,AVERAGEIFS(Param_Respondentes!$E$4:$E$43,Param_Respondentes!$C$4:$C$43,B17,Param_Respondentes!$D$4:$D$43,A17),AVERAGEIFS(Param_Respondentes!$E$4:$E$43,Param_Respondentes!$C$4:$C$43,B17)),2)</f>
        <v>1.13</v>
      </c>
      <c r="G17" s="8" t="n">
        <f aca="false">ROUND(IF(D17&gt;0,AVERAGEIFS(Param_Respondentes!$F$4:$F$43,Param_Respondentes!$C$4:$C$43,B17,Param_Respondentes!$D$4:$D$43,A17),AVERAGEIFS(Param_Respondentes!$F$4:$F$43,Param_Respondentes!$C$4:$C$43,B17)),2)</f>
        <v>0.51</v>
      </c>
      <c r="H17" s="6" t="str">
        <f aca="false">IF(D17=0,"SEM RESPONDENTES – média da faixa",IF(D17&lt;3,"Questionário (n baixo, &lt;3)","Questionário"))</f>
        <v>Questionário</v>
      </c>
    </row>
    <row r="18" customFormat="false" ht="15" hidden="false" customHeight="false" outlineLevel="0" collapsed="false">
      <c r="A18" s="5" t="s">
        <v>10</v>
      </c>
      <c r="B18" s="6" t="s">
        <v>20</v>
      </c>
      <c r="C18" s="5" t="s">
        <v>21</v>
      </c>
      <c r="D18" s="5" t="n">
        <f aca="false">COUNTIFS(Param_Respondentes!$C$4:$C$43,B18,Param_Respondentes!$D$4:$D$43,A18)</f>
        <v>6</v>
      </c>
      <c r="E18" s="7"/>
      <c r="F18" s="8" t="n">
        <f aca="false">ROUND(IF(D18&gt;0,AVERAGEIFS(Param_Respondentes!$E$4:$E$43,Param_Respondentes!$C$4:$C$43,B18,Param_Respondentes!$D$4:$D$43,A18),AVERAGEIFS(Param_Respondentes!$E$4:$E$43,Param_Respondentes!$C$4:$C$43,B18)),2)</f>
        <v>1.03</v>
      </c>
      <c r="G18" s="8" t="n">
        <f aca="false">ROUND(IF(D18&gt;0,AVERAGEIFS(Param_Respondentes!$F$4:$F$43,Param_Respondentes!$C$4:$C$43,B18,Param_Respondentes!$D$4:$D$43,A18),AVERAGEIFS(Param_Respondentes!$F$4:$F$43,Param_Respondentes!$C$4:$C$43,B18)),2)</f>
        <v>0.62</v>
      </c>
      <c r="H18" s="6" t="str">
        <f aca="false">IF(D18=0,"SEM RESPONDENTES – média da faixa",IF(D18&lt;3,"Questionário (n baixo, &lt;3)","Questionário"))</f>
        <v>Questionário</v>
      </c>
    </row>
    <row r="19" customFormat="false" ht="15" hidden="false" customHeight="false" outlineLevel="0" collapsed="false">
      <c r="A19" s="5" t="s">
        <v>13</v>
      </c>
      <c r="B19" s="6" t="s">
        <v>20</v>
      </c>
      <c r="C19" s="5" t="s">
        <v>21</v>
      </c>
      <c r="D19" s="5" t="n">
        <f aca="false">COUNTIFS(Param_Respondentes!$C$4:$C$43,B19,Param_Respondentes!$D$4:$D$43,A19)</f>
        <v>4</v>
      </c>
      <c r="E19" s="7"/>
      <c r="F19" s="8" t="n">
        <f aca="false">ROUND(IF(D19&gt;0,AVERAGEIFS(Param_Respondentes!$E$4:$E$43,Param_Respondentes!$C$4:$C$43,B19,Param_Respondentes!$D$4:$D$43,A19),AVERAGEIFS(Param_Respondentes!$E$4:$E$43,Param_Respondentes!$C$4:$C$43,B19)),2)</f>
        <v>1.03</v>
      </c>
      <c r="G19" s="8" t="n">
        <f aca="false">ROUND(IF(D19&gt;0,AVERAGEIFS(Param_Respondentes!$F$4:$F$43,Param_Respondentes!$C$4:$C$43,B19,Param_Respondentes!$D$4:$D$43,A19),AVERAGEIFS(Param_Respondentes!$F$4:$F$43,Param_Respondentes!$C$4:$C$43,B19)),2)</f>
        <v>0.49</v>
      </c>
      <c r="H19" s="6" t="str">
        <f aca="false">IF(D19=0,"SEM RESPONDENTES – média da faixa",IF(D19&lt;3,"Questionário (n baixo, &lt;3)","Questionário"))</f>
        <v>Questionário</v>
      </c>
    </row>
    <row r="20" customFormat="false" ht="15" hidden="false" customHeight="false" outlineLevel="0" collapsed="false">
      <c r="A20" s="5" t="s">
        <v>14</v>
      </c>
      <c r="B20" s="6" t="s">
        <v>20</v>
      </c>
      <c r="C20" s="5" t="s">
        <v>21</v>
      </c>
      <c r="D20" s="5" t="n">
        <f aca="false">COUNTIFS(Param_Respondentes!$C$4:$C$43,B20,Param_Respondentes!$D$4:$D$43,A20)</f>
        <v>0</v>
      </c>
      <c r="E20" s="7"/>
      <c r="F20" s="8" t="n">
        <f aca="false">ROUND(IF(D20&gt;0,AVERAGEIFS(Param_Respondentes!$E$4:$E$43,Param_Respondentes!$C$4:$C$43,B20,Param_Respondentes!$D$4:$D$43,A20),AVERAGEIFS(Param_Respondentes!$E$4:$E$43,Param_Respondentes!$C$4:$C$43,B20)),2)</f>
        <v>1.04</v>
      </c>
      <c r="G20" s="8" t="n">
        <f aca="false">ROUND(IF(D20&gt;0,AVERAGEIFS(Param_Respondentes!$F$4:$F$43,Param_Respondentes!$C$4:$C$43,B20,Param_Respondentes!$D$4:$D$43,A20),AVERAGEIFS(Param_Respondentes!$F$4:$F$43,Param_Respondentes!$C$4:$C$43,B20)),2)</f>
        <v>0.5</v>
      </c>
      <c r="H20" s="6" t="str">
        <f aca="false">IF(D20=0,"SEM RESPONDENTES – média da faixa",IF(D20&lt;3,"Questionário (n baixo, &lt;3)","Questionário"))</f>
        <v>SEM RESPONDENTES – média da faixa</v>
      </c>
    </row>
    <row r="21" customFormat="false" ht="15" hidden="false" customHeight="false" outlineLevel="0" collapsed="false">
      <c r="A21" s="5" t="s">
        <v>15</v>
      </c>
      <c r="B21" s="6" t="s">
        <v>20</v>
      </c>
      <c r="C21" s="5" t="s">
        <v>21</v>
      </c>
      <c r="D21" s="5" t="n">
        <f aca="false">COUNTIFS(Param_Respondentes!$C$4:$C$43,B21,Param_Respondentes!$D$4:$D$43,A21)</f>
        <v>0</v>
      </c>
      <c r="E21" s="7"/>
      <c r="F21" s="8" t="n">
        <f aca="false">ROUND(IF(D21&gt;0,AVERAGEIFS(Param_Respondentes!$E$4:$E$43,Param_Respondentes!$C$4:$C$43,B21,Param_Respondentes!$D$4:$D$43,A21),AVERAGEIFS(Param_Respondentes!$E$4:$E$43,Param_Respondentes!$C$4:$C$43,B21)),2)</f>
        <v>1.04</v>
      </c>
      <c r="G21" s="8" t="n">
        <f aca="false">ROUND(IF(D21&gt;0,AVERAGEIFS(Param_Respondentes!$F$4:$F$43,Param_Respondentes!$C$4:$C$43,B21,Param_Respondentes!$D$4:$D$43,A21),AVERAGEIFS(Param_Respondentes!$F$4:$F$43,Param_Respondentes!$C$4:$C$43,B21)),2)</f>
        <v>0.5</v>
      </c>
      <c r="H21" s="6" t="str">
        <f aca="false">IF(D21=0,"SEM RESPONDENTES – média da faixa",IF(D21&lt;3,"Questionário (n baixo, &lt;3)","Questionário"))</f>
        <v>SEM RESPONDENTES – média da faixa</v>
      </c>
    </row>
    <row r="22" customFormat="false" ht="15" hidden="false" customHeight="false" outlineLevel="0" collapsed="false">
      <c r="A22" s="5" t="s">
        <v>16</v>
      </c>
      <c r="B22" s="6" t="s">
        <v>20</v>
      </c>
      <c r="C22" s="5" t="s">
        <v>21</v>
      </c>
      <c r="D22" s="5" t="n">
        <f aca="false">COUNTIFS(Param_Respondentes!$C$4:$C$43,B22,Param_Respondentes!$D$4:$D$43,A22)</f>
        <v>10</v>
      </c>
      <c r="E22" s="7"/>
      <c r="F22" s="8" t="n">
        <f aca="false">ROUND(IF(D22&gt;0,AVERAGEIFS(Param_Respondentes!$E$4:$E$43,Param_Respondentes!$C$4:$C$43,B22,Param_Respondentes!$D$4:$D$43,A22),AVERAGEIFS(Param_Respondentes!$E$4:$E$43,Param_Respondentes!$C$4:$C$43,B22)),2)</f>
        <v>1.06</v>
      </c>
      <c r="G22" s="8" t="n">
        <f aca="false">ROUND(IF(D22&gt;0,AVERAGEIFS(Param_Respondentes!$F$4:$F$43,Param_Respondentes!$C$4:$C$43,B22,Param_Respondentes!$D$4:$D$43,A22),AVERAGEIFS(Param_Respondentes!$F$4:$F$43,Param_Respondentes!$C$4:$C$43,B22)),2)</f>
        <v>0.43</v>
      </c>
      <c r="H22" s="6" t="str">
        <f aca="false">IF(D22=0,"SEM RESPONDENTES – média da faixa",IF(D22&lt;3,"Questionário (n baixo, &lt;3)","Questionário"))</f>
        <v>Questionário</v>
      </c>
    </row>
    <row r="23" customFormat="false" ht="15" hidden="false" customHeight="false" outlineLevel="0" collapsed="false">
      <c r="A23" s="5" t="s">
        <v>17</v>
      </c>
      <c r="B23" s="6" t="s">
        <v>20</v>
      </c>
      <c r="C23" s="5" t="s">
        <v>21</v>
      </c>
      <c r="D23" s="5" t="n">
        <f aca="false">COUNTIFS(Param_Respondentes!$C$4:$C$43,B23,Param_Respondentes!$D$4:$D$43,A23)</f>
        <v>1</v>
      </c>
      <c r="E23" s="7"/>
      <c r="F23" s="8" t="n">
        <f aca="false">ROUND(IF(D23&gt;0,AVERAGEIFS(Param_Respondentes!$E$4:$E$43,Param_Respondentes!$C$4:$C$43,B23,Param_Respondentes!$D$4:$D$43,A23),AVERAGEIFS(Param_Respondentes!$E$4:$E$43,Param_Respondentes!$C$4:$C$43,B23)),2)</f>
        <v>1</v>
      </c>
      <c r="G23" s="8" t="n">
        <f aca="false">ROUND(IF(D23&gt;0,AVERAGEIFS(Param_Respondentes!$F$4:$F$43,Param_Respondentes!$C$4:$C$43,B23,Param_Respondentes!$D$4:$D$43,A23),AVERAGEIFS(Param_Respondentes!$F$4:$F$43,Param_Respondentes!$C$4:$C$43,B23)),2)</f>
        <v>0.49</v>
      </c>
      <c r="H23" s="6" t="str">
        <f aca="false">IF(D23=0,"SEM RESPONDENTES – média da faixa",IF(D23&lt;3,"Questionário (n baixo, &lt;3)","Questionário"))</f>
        <v>Questionário (n baixo, &lt;3)</v>
      </c>
    </row>
    <row r="25" customFormat="false" ht="15" hidden="false" customHeight="false" outlineLevel="0" collapsed="false">
      <c r="A25" s="9" t="s">
        <v>22</v>
      </c>
    </row>
    <row r="26" customFormat="false" ht="15" hidden="false" customHeight="false" outlineLevel="0" collapsed="false">
      <c r="A26" s="2" t="s">
        <v>23</v>
      </c>
      <c r="F26" s="10" t="n">
        <f aca="false">ROUND(AVERAGE(Param_Respondentes!$E$4:$E$43),2)</f>
        <v>1.05</v>
      </c>
    </row>
    <row r="27" customFormat="false" ht="15" hidden="false" customHeight="false" outlineLevel="0" collapsed="false">
      <c r="A27" s="2" t="s">
        <v>24</v>
      </c>
      <c r="F27" s="10" t="n">
        <f aca="false">ROUND(AVERAGE(Param_Respondentes!$F$4:$F$43),2)</f>
        <v>0.48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2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6" min="5" style="0" width="18"/>
    <col collapsed="false" customWidth="true" hidden="false" outlineLevel="0" max="7" min="7" style="0" width="20"/>
    <col collapsed="false" customWidth="true" hidden="false" outlineLevel="0" max="8" min="8" style="0" width="22"/>
  </cols>
  <sheetData>
    <row r="1" customFormat="false" ht="15" hidden="false" customHeight="false" outlineLevel="0" collapsed="false">
      <c r="A1" s="1" t="s">
        <v>25</v>
      </c>
    </row>
    <row r="2" customFormat="false" ht="15" hidden="false" customHeight="false" outlineLevel="0" collapsed="false">
      <c r="A2" s="2" t="s">
        <v>26</v>
      </c>
    </row>
    <row r="4" customFormat="false" ht="31.5" hidden="false" customHeight="true" outlineLevel="0" collapsed="false">
      <c r="A4" s="4" t="s">
        <v>2</v>
      </c>
      <c r="B4" s="4" t="s">
        <v>3</v>
      </c>
      <c r="C4" s="4" t="s">
        <v>27</v>
      </c>
      <c r="D4" s="4" t="s">
        <v>28</v>
      </c>
      <c r="E4" s="4" t="s">
        <v>29</v>
      </c>
      <c r="F4" s="4" t="s">
        <v>30</v>
      </c>
      <c r="G4" s="4" t="s">
        <v>31</v>
      </c>
      <c r="H4" s="4" t="s">
        <v>32</v>
      </c>
    </row>
    <row r="5" customFormat="false" ht="15" hidden="false" customHeight="false" outlineLevel="0" collapsed="false">
      <c r="A5" s="5" t="s">
        <v>10</v>
      </c>
      <c r="B5" s="6" t="s">
        <v>11</v>
      </c>
      <c r="C5" s="5" t="n">
        <f aca="false">COUNTIFS(Param_Respondentes!$C$4:$C$43,B5,Param_Respondentes!$D$4:$D$43,A5)</f>
        <v>0</v>
      </c>
      <c r="D5" s="5" t="str">
        <f aca="false">IF(C5=0,"",ROUND(AVERAGEIFS(Param_Respondentes!$G$4:$G$43,Param_Respondentes!$C$4:$C$43,B5,Param_Respondentes!$D$4:$D$43,A5),2))</f>
        <v/>
      </c>
      <c r="E5" s="11" t="str">
        <f aca="false">IF(C5=0,"",COUNTIFS(Param_Respondentes!$C$4:$C$43,B5,Param_Respondentes!$D$4:$D$43,A5,Param_Respondentes!$G$4:$G$43,"&gt;=-1",Param_Respondentes!$G$4:$G$43,"&lt;=1")/C5)</f>
        <v/>
      </c>
      <c r="F5" s="11" t="str">
        <f aca="false">IF(C5=0,"",COUNTIFS(Param_Respondentes!$C$4:$C$43,B5,Param_Respondentes!$D$4:$D$43,A5,Param_Respondentes!$I$4:$I$43,"Mais frio")/C5)</f>
        <v/>
      </c>
      <c r="G5" s="11" t="str">
        <f aca="false">IF(C5=0,"",COUNTIFS(Param_Respondentes!$C$4:$C$43,B5,Param_Respondentes!$D$4:$D$43,A5,Param_Respondentes!$I$4:$I$43,"Mais quente")/C5)</f>
        <v/>
      </c>
      <c r="H5" s="5" t="str">
        <f aca="false">IF(C5=0,"",ROUND(AVERAGEIFS(Param_Respondentes!$H$4:$H$43,Param_Respondentes!$C$4:$C$43,B5,Param_Respondentes!$D$4:$D$43,A5),2))</f>
        <v/>
      </c>
    </row>
    <row r="6" customFormat="false" ht="15" hidden="false" customHeight="false" outlineLevel="0" collapsed="false">
      <c r="A6" s="5" t="s">
        <v>13</v>
      </c>
      <c r="B6" s="6" t="s">
        <v>11</v>
      </c>
      <c r="C6" s="5" t="n">
        <f aca="false">COUNTIFS(Param_Respondentes!$C$4:$C$43,B6,Param_Respondentes!$D$4:$D$43,A6)</f>
        <v>2</v>
      </c>
      <c r="D6" s="5" t="n">
        <f aca="false">IF(C6=0,"",ROUND(AVERAGEIFS(Param_Respondentes!$G$4:$G$43,Param_Respondentes!$C$4:$C$43,B6,Param_Respondentes!$D$4:$D$43,A6),2))</f>
        <v>-0.5</v>
      </c>
      <c r="E6" s="11" t="n">
        <f aca="false">IF(C6=0,"",COUNTIFS(Param_Respondentes!$C$4:$C$43,B6,Param_Respondentes!$D$4:$D$43,A6,Param_Respondentes!$G$4:$G$43,"&gt;=-1",Param_Respondentes!$G$4:$G$43,"&lt;=1")/C6)</f>
        <v>1</v>
      </c>
      <c r="F6" s="11" t="n">
        <f aca="false">IF(C6=0,"",COUNTIFS(Param_Respondentes!$C$4:$C$43,B6,Param_Respondentes!$D$4:$D$43,A6,Param_Respondentes!$I$4:$I$43,"Mais frio")/C6)</f>
        <v>1</v>
      </c>
      <c r="G6" s="11" t="n">
        <f aca="false">IF(C6=0,"",COUNTIFS(Param_Respondentes!$C$4:$C$43,B6,Param_Respondentes!$D$4:$D$43,A6,Param_Respondentes!$I$4:$I$43,"Mais quente")/C6)</f>
        <v>0</v>
      </c>
      <c r="H6" s="5" t="n">
        <f aca="false">IF(C6=0,"",ROUND(AVERAGEIFS(Param_Respondentes!$H$4:$H$43,Param_Respondentes!$C$4:$C$43,B6,Param_Respondentes!$D$4:$D$43,A6),2))</f>
        <v>-1</v>
      </c>
    </row>
    <row r="7" customFormat="false" ht="15" hidden="false" customHeight="false" outlineLevel="0" collapsed="false">
      <c r="A7" s="5" t="s">
        <v>14</v>
      </c>
      <c r="B7" s="6" t="s">
        <v>11</v>
      </c>
      <c r="C7" s="5" t="n">
        <f aca="false">COUNTIFS(Param_Respondentes!$C$4:$C$43,B7,Param_Respondentes!$D$4:$D$43,A7)</f>
        <v>0</v>
      </c>
      <c r="D7" s="5" t="str">
        <f aca="false">IF(C7=0,"",ROUND(AVERAGEIFS(Param_Respondentes!$G$4:$G$43,Param_Respondentes!$C$4:$C$43,B7,Param_Respondentes!$D$4:$D$43,A7),2))</f>
        <v/>
      </c>
      <c r="E7" s="11" t="str">
        <f aca="false">IF(C7=0,"",COUNTIFS(Param_Respondentes!$C$4:$C$43,B7,Param_Respondentes!$D$4:$D$43,A7,Param_Respondentes!$G$4:$G$43,"&gt;=-1",Param_Respondentes!$G$4:$G$43,"&lt;=1")/C7)</f>
        <v/>
      </c>
      <c r="F7" s="11" t="str">
        <f aca="false">IF(C7=0,"",COUNTIFS(Param_Respondentes!$C$4:$C$43,B7,Param_Respondentes!$D$4:$D$43,A7,Param_Respondentes!$I$4:$I$43,"Mais frio")/C7)</f>
        <v/>
      </c>
      <c r="G7" s="11" t="str">
        <f aca="false">IF(C7=0,"",COUNTIFS(Param_Respondentes!$C$4:$C$43,B7,Param_Respondentes!$D$4:$D$43,A7,Param_Respondentes!$I$4:$I$43,"Mais quente")/C7)</f>
        <v/>
      </c>
      <c r="H7" s="5" t="str">
        <f aca="false">IF(C7=0,"",ROUND(AVERAGEIFS(Param_Respondentes!$H$4:$H$43,Param_Respondentes!$C$4:$C$43,B7,Param_Respondentes!$D$4:$D$43,A7),2))</f>
        <v/>
      </c>
    </row>
    <row r="8" customFormat="false" ht="15" hidden="false" customHeight="false" outlineLevel="0" collapsed="false">
      <c r="A8" s="5" t="s">
        <v>15</v>
      </c>
      <c r="B8" s="6" t="s">
        <v>11</v>
      </c>
      <c r="C8" s="5" t="n">
        <f aca="false">COUNTIFS(Param_Respondentes!$C$4:$C$43,B8,Param_Respondentes!$D$4:$D$43,A8)</f>
        <v>0</v>
      </c>
      <c r="D8" s="5" t="str">
        <f aca="false">IF(C8=0,"",ROUND(AVERAGEIFS(Param_Respondentes!$G$4:$G$43,Param_Respondentes!$C$4:$C$43,B8,Param_Respondentes!$D$4:$D$43,A8),2))</f>
        <v/>
      </c>
      <c r="E8" s="11" t="str">
        <f aca="false">IF(C8=0,"",COUNTIFS(Param_Respondentes!$C$4:$C$43,B8,Param_Respondentes!$D$4:$D$43,A8,Param_Respondentes!$G$4:$G$43,"&gt;=-1",Param_Respondentes!$G$4:$G$43,"&lt;=1")/C8)</f>
        <v/>
      </c>
      <c r="F8" s="11" t="str">
        <f aca="false">IF(C8=0,"",COUNTIFS(Param_Respondentes!$C$4:$C$43,B8,Param_Respondentes!$D$4:$D$43,A8,Param_Respondentes!$I$4:$I$43,"Mais frio")/C8)</f>
        <v/>
      </c>
      <c r="G8" s="11" t="str">
        <f aca="false">IF(C8=0,"",COUNTIFS(Param_Respondentes!$C$4:$C$43,B8,Param_Respondentes!$D$4:$D$43,A8,Param_Respondentes!$I$4:$I$43,"Mais quente")/C8)</f>
        <v/>
      </c>
      <c r="H8" s="5" t="str">
        <f aca="false">IF(C8=0,"",ROUND(AVERAGEIFS(Param_Respondentes!$H$4:$H$43,Param_Respondentes!$C$4:$C$43,B8,Param_Respondentes!$D$4:$D$43,A8),2))</f>
        <v/>
      </c>
    </row>
    <row r="9" customFormat="false" ht="15" hidden="false" customHeight="false" outlineLevel="0" collapsed="false">
      <c r="A9" s="5" t="s">
        <v>16</v>
      </c>
      <c r="B9" s="6" t="s">
        <v>11</v>
      </c>
      <c r="C9" s="5" t="n">
        <f aca="false">COUNTIFS(Param_Respondentes!$C$4:$C$43,B9,Param_Respondentes!$D$4:$D$43,A9)</f>
        <v>4</v>
      </c>
      <c r="D9" s="5" t="n">
        <f aca="false">IF(C9=0,"",ROUND(AVERAGEIFS(Param_Respondentes!$G$4:$G$43,Param_Respondentes!$C$4:$C$43,B9,Param_Respondentes!$D$4:$D$43,A9),2))</f>
        <v>-0.75</v>
      </c>
      <c r="E9" s="11" t="n">
        <f aca="false">IF(C9=0,"",COUNTIFS(Param_Respondentes!$C$4:$C$43,B9,Param_Respondentes!$D$4:$D$43,A9,Param_Respondentes!$G$4:$G$43,"&gt;=-1",Param_Respondentes!$G$4:$G$43,"&lt;=1")/C9)</f>
        <v>1</v>
      </c>
      <c r="F9" s="11" t="n">
        <f aca="false">IF(C9=0,"",COUNTIFS(Param_Respondentes!$C$4:$C$43,B9,Param_Respondentes!$D$4:$D$43,A9,Param_Respondentes!$I$4:$I$43,"Mais frio")/C9)</f>
        <v>0.5</v>
      </c>
      <c r="G9" s="11" t="n">
        <f aca="false">IF(C9=0,"",COUNTIFS(Param_Respondentes!$C$4:$C$43,B9,Param_Respondentes!$D$4:$D$43,A9,Param_Respondentes!$I$4:$I$43,"Mais quente")/C9)</f>
        <v>0</v>
      </c>
      <c r="H9" s="5" t="n">
        <f aca="false">IF(C9=0,"",ROUND(AVERAGEIFS(Param_Respondentes!$H$4:$H$43,Param_Respondentes!$C$4:$C$43,B9,Param_Respondentes!$D$4:$D$43,A9),2))</f>
        <v>1.75</v>
      </c>
    </row>
    <row r="10" customFormat="false" ht="15" hidden="false" customHeight="false" outlineLevel="0" collapsed="false">
      <c r="A10" s="5" t="s">
        <v>17</v>
      </c>
      <c r="B10" s="6" t="s">
        <v>11</v>
      </c>
      <c r="C10" s="5" t="n">
        <f aca="false">COUNTIFS(Param_Respondentes!$C$4:$C$43,B10,Param_Respondentes!$D$4:$D$43,A10)</f>
        <v>2</v>
      </c>
      <c r="D10" s="5" t="n">
        <f aca="false">IF(C10=0,"",ROUND(AVERAGEIFS(Param_Respondentes!$G$4:$G$43,Param_Respondentes!$C$4:$C$43,B10,Param_Respondentes!$D$4:$D$43,A10),2))</f>
        <v>-1</v>
      </c>
      <c r="E10" s="11" t="n">
        <f aca="false">IF(C10=0,"",COUNTIFS(Param_Respondentes!$C$4:$C$43,B10,Param_Respondentes!$D$4:$D$43,A10,Param_Respondentes!$G$4:$G$43,"&gt;=-1",Param_Respondentes!$G$4:$G$43,"&lt;=1")/C10)</f>
        <v>1</v>
      </c>
      <c r="F10" s="11" t="n">
        <f aca="false">IF(C10=0,"",COUNTIFS(Param_Respondentes!$C$4:$C$43,B10,Param_Respondentes!$D$4:$D$43,A10,Param_Respondentes!$I$4:$I$43,"Mais frio")/C10)</f>
        <v>0.5</v>
      </c>
      <c r="G10" s="11" t="n">
        <f aca="false">IF(C10=0,"",COUNTIFS(Param_Respondentes!$C$4:$C$43,B10,Param_Respondentes!$D$4:$D$43,A10,Param_Respondentes!$I$4:$I$43,"Mais quente")/C10)</f>
        <v>0</v>
      </c>
      <c r="H10" s="5" t="n">
        <f aca="false">IF(C10=0,"",ROUND(AVERAGEIFS(Param_Respondentes!$H$4:$H$43,Param_Respondentes!$C$4:$C$43,B10,Param_Respondentes!$D$4:$D$43,A10),2))</f>
        <v>1</v>
      </c>
    </row>
    <row r="11" customFormat="false" ht="15" hidden="false" customHeight="false" outlineLevel="0" collapsed="false">
      <c r="A11" s="5" t="s">
        <v>10</v>
      </c>
      <c r="B11" s="6" t="s">
        <v>18</v>
      </c>
      <c r="C11" s="5" t="n">
        <f aca="false">COUNTIFS(Param_Respondentes!$C$4:$C$43,B11,Param_Respondentes!$D$4:$D$43,A11)</f>
        <v>0</v>
      </c>
      <c r="D11" s="5" t="str">
        <f aca="false">IF(C11=0,"",ROUND(AVERAGEIFS(Param_Respondentes!$G$4:$G$43,Param_Respondentes!$C$4:$C$43,B11,Param_Respondentes!$D$4:$D$43,A11),2))</f>
        <v/>
      </c>
      <c r="E11" s="11" t="str">
        <f aca="false">IF(C11=0,"",COUNTIFS(Param_Respondentes!$C$4:$C$43,B11,Param_Respondentes!$D$4:$D$43,A11,Param_Respondentes!$G$4:$G$43,"&gt;=-1",Param_Respondentes!$G$4:$G$43,"&lt;=1")/C11)</f>
        <v/>
      </c>
      <c r="F11" s="11" t="str">
        <f aca="false">IF(C11=0,"",COUNTIFS(Param_Respondentes!$C$4:$C$43,B11,Param_Respondentes!$D$4:$D$43,A11,Param_Respondentes!$I$4:$I$43,"Mais frio")/C11)</f>
        <v/>
      </c>
      <c r="G11" s="11" t="str">
        <f aca="false">IF(C11=0,"",COUNTIFS(Param_Respondentes!$C$4:$C$43,B11,Param_Respondentes!$D$4:$D$43,A11,Param_Respondentes!$I$4:$I$43,"Mais quente")/C11)</f>
        <v/>
      </c>
      <c r="H11" s="5" t="str">
        <f aca="false">IF(C11=0,"",ROUND(AVERAGEIFS(Param_Respondentes!$H$4:$H$43,Param_Respondentes!$C$4:$C$43,B11,Param_Respondentes!$D$4:$D$43,A11),2))</f>
        <v/>
      </c>
    </row>
    <row r="12" customFormat="false" ht="15" hidden="false" customHeight="false" outlineLevel="0" collapsed="false">
      <c r="A12" s="5" t="s">
        <v>13</v>
      </c>
      <c r="B12" s="6" t="s">
        <v>18</v>
      </c>
      <c r="C12" s="5" t="n">
        <f aca="false">COUNTIFS(Param_Respondentes!$C$4:$C$43,B12,Param_Respondentes!$D$4:$D$43,A12)</f>
        <v>0</v>
      </c>
      <c r="D12" s="5" t="str">
        <f aca="false">IF(C12=0,"",ROUND(AVERAGEIFS(Param_Respondentes!$G$4:$G$43,Param_Respondentes!$C$4:$C$43,B12,Param_Respondentes!$D$4:$D$43,A12),2))</f>
        <v/>
      </c>
      <c r="E12" s="11" t="str">
        <f aca="false">IF(C12=0,"",COUNTIFS(Param_Respondentes!$C$4:$C$43,B12,Param_Respondentes!$D$4:$D$43,A12,Param_Respondentes!$G$4:$G$43,"&gt;=-1",Param_Respondentes!$G$4:$G$43,"&lt;=1")/C12)</f>
        <v/>
      </c>
      <c r="F12" s="11" t="str">
        <f aca="false">IF(C12=0,"",COUNTIFS(Param_Respondentes!$C$4:$C$43,B12,Param_Respondentes!$D$4:$D$43,A12,Param_Respondentes!$I$4:$I$43,"Mais frio")/C12)</f>
        <v/>
      </c>
      <c r="G12" s="11" t="str">
        <f aca="false">IF(C12=0,"",COUNTIFS(Param_Respondentes!$C$4:$C$43,B12,Param_Respondentes!$D$4:$D$43,A12,Param_Respondentes!$I$4:$I$43,"Mais quente")/C12)</f>
        <v/>
      </c>
      <c r="H12" s="5" t="str">
        <f aca="false">IF(C12=0,"",ROUND(AVERAGEIFS(Param_Respondentes!$H$4:$H$43,Param_Respondentes!$C$4:$C$43,B12,Param_Respondentes!$D$4:$D$43,A12),2))</f>
        <v/>
      </c>
    </row>
    <row r="13" customFormat="false" ht="15" hidden="false" customHeight="false" outlineLevel="0" collapsed="false">
      <c r="A13" s="5" t="s">
        <v>14</v>
      </c>
      <c r="B13" s="6" t="s">
        <v>18</v>
      </c>
      <c r="C13" s="5" t="n">
        <f aca="false">COUNTIFS(Param_Respondentes!$C$4:$C$43,B13,Param_Respondentes!$D$4:$D$43,A13)</f>
        <v>0</v>
      </c>
      <c r="D13" s="5" t="str">
        <f aca="false">IF(C13=0,"",ROUND(AVERAGEIFS(Param_Respondentes!$G$4:$G$43,Param_Respondentes!$C$4:$C$43,B13,Param_Respondentes!$D$4:$D$43,A13),2))</f>
        <v/>
      </c>
      <c r="E13" s="11" t="str">
        <f aca="false">IF(C13=0,"",COUNTIFS(Param_Respondentes!$C$4:$C$43,B13,Param_Respondentes!$D$4:$D$43,A13,Param_Respondentes!$G$4:$G$43,"&gt;=-1",Param_Respondentes!$G$4:$G$43,"&lt;=1")/C13)</f>
        <v/>
      </c>
      <c r="F13" s="11" t="str">
        <f aca="false">IF(C13=0,"",COUNTIFS(Param_Respondentes!$C$4:$C$43,B13,Param_Respondentes!$D$4:$D$43,A13,Param_Respondentes!$I$4:$I$43,"Mais frio")/C13)</f>
        <v/>
      </c>
      <c r="G13" s="11" t="str">
        <f aca="false">IF(C13=0,"",COUNTIFS(Param_Respondentes!$C$4:$C$43,B13,Param_Respondentes!$D$4:$D$43,A13,Param_Respondentes!$I$4:$I$43,"Mais quente")/C13)</f>
        <v/>
      </c>
      <c r="H13" s="5" t="str">
        <f aca="false">IF(C13=0,"",ROUND(AVERAGEIFS(Param_Respondentes!$H$4:$H$43,Param_Respondentes!$C$4:$C$43,B13,Param_Respondentes!$D$4:$D$43,A13),2))</f>
        <v/>
      </c>
    </row>
    <row r="14" customFormat="false" ht="15" hidden="false" customHeight="false" outlineLevel="0" collapsed="false">
      <c r="A14" s="5" t="s">
        <v>15</v>
      </c>
      <c r="B14" s="6" t="s">
        <v>18</v>
      </c>
      <c r="C14" s="5" t="n">
        <f aca="false">COUNTIFS(Param_Respondentes!$C$4:$C$43,B14,Param_Respondentes!$D$4:$D$43,A14)</f>
        <v>0</v>
      </c>
      <c r="D14" s="5" t="str">
        <f aca="false">IF(C14=0,"",ROUND(AVERAGEIFS(Param_Respondentes!$G$4:$G$43,Param_Respondentes!$C$4:$C$43,B14,Param_Respondentes!$D$4:$D$43,A14),2))</f>
        <v/>
      </c>
      <c r="E14" s="11" t="str">
        <f aca="false">IF(C14=0,"",COUNTIFS(Param_Respondentes!$C$4:$C$43,B14,Param_Respondentes!$D$4:$D$43,A14,Param_Respondentes!$G$4:$G$43,"&gt;=-1",Param_Respondentes!$G$4:$G$43,"&lt;=1")/C14)</f>
        <v/>
      </c>
      <c r="F14" s="11" t="str">
        <f aca="false">IF(C14=0,"",COUNTIFS(Param_Respondentes!$C$4:$C$43,B14,Param_Respondentes!$D$4:$D$43,A14,Param_Respondentes!$I$4:$I$43,"Mais frio")/C14)</f>
        <v/>
      </c>
      <c r="G14" s="11" t="str">
        <f aca="false">IF(C14=0,"",COUNTIFS(Param_Respondentes!$C$4:$C$43,B14,Param_Respondentes!$D$4:$D$43,A14,Param_Respondentes!$I$4:$I$43,"Mais quente")/C14)</f>
        <v/>
      </c>
      <c r="H14" s="5" t="str">
        <f aca="false">IF(C14=0,"",ROUND(AVERAGEIFS(Param_Respondentes!$H$4:$H$43,Param_Respondentes!$C$4:$C$43,B14,Param_Respondentes!$D$4:$D$43,A14),2))</f>
        <v/>
      </c>
    </row>
    <row r="15" customFormat="false" ht="15" hidden="false" customHeight="false" outlineLevel="0" collapsed="false">
      <c r="A15" s="5" t="s">
        <v>16</v>
      </c>
      <c r="B15" s="6" t="s">
        <v>18</v>
      </c>
      <c r="C15" s="5" t="n">
        <f aca="false">COUNTIFS(Param_Respondentes!$C$4:$C$43,B15,Param_Respondentes!$D$4:$D$43,A15)</f>
        <v>7</v>
      </c>
      <c r="D15" s="5" t="n">
        <f aca="false">IF(C15=0,"",ROUND(AVERAGEIFS(Param_Respondentes!$G$4:$G$43,Param_Respondentes!$C$4:$C$43,B15,Param_Respondentes!$D$4:$D$43,A15),2))</f>
        <v>-1</v>
      </c>
      <c r="E15" s="11" t="n">
        <f aca="false">IF(C15=0,"",COUNTIFS(Param_Respondentes!$C$4:$C$43,B15,Param_Respondentes!$D$4:$D$43,A15,Param_Respondentes!$G$4:$G$43,"&gt;=-1",Param_Respondentes!$G$4:$G$43,"&lt;=1")/C15)</f>
        <v>0.857142857142857</v>
      </c>
      <c r="F15" s="11" t="n">
        <f aca="false">IF(C15=0,"",COUNTIFS(Param_Respondentes!$C$4:$C$43,B15,Param_Respondentes!$D$4:$D$43,A15,Param_Respondentes!$I$4:$I$43,"Mais frio")/C15)</f>
        <v>0.285714285714286</v>
      </c>
      <c r="G15" s="11" t="n">
        <f aca="false">IF(C15=0,"",COUNTIFS(Param_Respondentes!$C$4:$C$43,B15,Param_Respondentes!$D$4:$D$43,A15,Param_Respondentes!$I$4:$I$43,"Mais quente")/C15)</f>
        <v>0.142857142857143</v>
      </c>
      <c r="H15" s="5" t="n">
        <f aca="false">IF(C15=0,"",ROUND(AVERAGEIFS(Param_Respondentes!$H$4:$H$43,Param_Respondentes!$C$4:$C$43,B15,Param_Respondentes!$D$4:$D$43,A15),2))</f>
        <v>0.29</v>
      </c>
    </row>
    <row r="16" customFormat="false" ht="15" hidden="false" customHeight="false" outlineLevel="0" collapsed="false">
      <c r="A16" s="5" t="s">
        <v>17</v>
      </c>
      <c r="B16" s="6" t="s">
        <v>18</v>
      </c>
      <c r="C16" s="5" t="n">
        <f aca="false">COUNTIFS(Param_Respondentes!$C$4:$C$43,B16,Param_Respondentes!$D$4:$D$43,A16)</f>
        <v>4</v>
      </c>
      <c r="D16" s="5" t="n">
        <f aca="false">IF(C16=0,"",ROUND(AVERAGEIFS(Param_Respondentes!$G$4:$G$43,Param_Respondentes!$C$4:$C$43,B16,Param_Respondentes!$D$4:$D$43,A16),2))</f>
        <v>-0.75</v>
      </c>
      <c r="E16" s="11" t="n">
        <f aca="false">IF(C16=0,"",COUNTIFS(Param_Respondentes!$C$4:$C$43,B16,Param_Respondentes!$D$4:$D$43,A16,Param_Respondentes!$G$4:$G$43,"&gt;=-1",Param_Respondentes!$G$4:$G$43,"&lt;=1")/C16)</f>
        <v>1</v>
      </c>
      <c r="F16" s="11" t="n">
        <f aca="false">IF(C16=0,"",COUNTIFS(Param_Respondentes!$C$4:$C$43,B16,Param_Respondentes!$D$4:$D$43,A16,Param_Respondentes!$I$4:$I$43,"Mais frio")/C16)</f>
        <v>0.5</v>
      </c>
      <c r="G16" s="11" t="n">
        <f aca="false">IF(C16=0,"",COUNTIFS(Param_Respondentes!$C$4:$C$43,B16,Param_Respondentes!$D$4:$D$43,A16,Param_Respondentes!$I$4:$I$43,"Mais quente")/C16)</f>
        <v>0</v>
      </c>
      <c r="H16" s="5" t="n">
        <f aca="false">IF(C16=0,"",ROUND(AVERAGEIFS(Param_Respondentes!$H$4:$H$43,Param_Respondentes!$C$4:$C$43,B16,Param_Respondentes!$D$4:$D$43,A16),2))</f>
        <v>0.5</v>
      </c>
    </row>
    <row r="17" customFormat="false" ht="15" hidden="false" customHeight="false" outlineLevel="0" collapsed="false">
      <c r="A17" s="5" t="s">
        <v>10</v>
      </c>
      <c r="B17" s="6" t="s">
        <v>20</v>
      </c>
      <c r="C17" s="5" t="n">
        <f aca="false">COUNTIFS(Param_Respondentes!$C$4:$C$43,B17,Param_Respondentes!$D$4:$D$43,A17)</f>
        <v>6</v>
      </c>
      <c r="D17" s="5" t="n">
        <f aca="false">IF(C17=0,"",ROUND(AVERAGEIFS(Param_Respondentes!$G$4:$G$43,Param_Respondentes!$C$4:$C$43,B17,Param_Respondentes!$D$4:$D$43,A17),2))</f>
        <v>-0.83</v>
      </c>
      <c r="E17" s="11" t="n">
        <f aca="false">IF(C17=0,"",COUNTIFS(Param_Respondentes!$C$4:$C$43,B17,Param_Respondentes!$D$4:$D$43,A17,Param_Respondentes!$G$4:$G$43,"&gt;=-1",Param_Respondentes!$G$4:$G$43,"&lt;=1")/C17)</f>
        <v>0.666666666666667</v>
      </c>
      <c r="F17" s="11" t="n">
        <f aca="false">IF(C17=0,"",COUNTIFS(Param_Respondentes!$C$4:$C$43,B17,Param_Respondentes!$D$4:$D$43,A17,Param_Respondentes!$I$4:$I$43,"Mais frio")/C17)</f>
        <v>0.166666666666667</v>
      </c>
      <c r="G17" s="11" t="n">
        <f aca="false">IF(C17=0,"",COUNTIFS(Param_Respondentes!$C$4:$C$43,B17,Param_Respondentes!$D$4:$D$43,A17,Param_Respondentes!$I$4:$I$43,"Mais quente")/C17)</f>
        <v>0.333333333333333</v>
      </c>
      <c r="H17" s="5" t="n">
        <f aca="false">IF(C17=0,"",ROUND(AVERAGEIFS(Param_Respondentes!$H$4:$H$43,Param_Respondentes!$C$4:$C$43,B17,Param_Respondentes!$D$4:$D$43,A17),2))</f>
        <v>-0.33</v>
      </c>
    </row>
    <row r="18" customFormat="false" ht="15" hidden="false" customHeight="false" outlineLevel="0" collapsed="false">
      <c r="A18" s="5" t="s">
        <v>13</v>
      </c>
      <c r="B18" s="6" t="s">
        <v>20</v>
      </c>
      <c r="C18" s="5" t="n">
        <f aca="false">COUNTIFS(Param_Respondentes!$C$4:$C$43,B18,Param_Respondentes!$D$4:$D$43,A18)</f>
        <v>4</v>
      </c>
      <c r="D18" s="5" t="n">
        <f aca="false">IF(C18=0,"",ROUND(AVERAGEIFS(Param_Respondentes!$G$4:$G$43,Param_Respondentes!$C$4:$C$43,B18,Param_Respondentes!$D$4:$D$43,A18),2))</f>
        <v>-0.25</v>
      </c>
      <c r="E18" s="11" t="n">
        <f aca="false">IF(C18=0,"",COUNTIFS(Param_Respondentes!$C$4:$C$43,B18,Param_Respondentes!$D$4:$D$43,A18,Param_Respondentes!$G$4:$G$43,"&gt;=-1",Param_Respondentes!$G$4:$G$43,"&lt;=1")/C18)</f>
        <v>0.75</v>
      </c>
      <c r="F18" s="11" t="n">
        <f aca="false">IF(C18=0,"",COUNTIFS(Param_Respondentes!$C$4:$C$43,B18,Param_Respondentes!$D$4:$D$43,A18,Param_Respondentes!$I$4:$I$43,"Mais frio")/C18)</f>
        <v>0.75</v>
      </c>
      <c r="G18" s="11" t="n">
        <f aca="false">IF(C18=0,"",COUNTIFS(Param_Respondentes!$C$4:$C$43,B18,Param_Respondentes!$D$4:$D$43,A18,Param_Respondentes!$I$4:$I$43,"Mais quente")/C18)</f>
        <v>0</v>
      </c>
      <c r="H18" s="5" t="n">
        <f aca="false">IF(C18=0,"",ROUND(AVERAGEIFS(Param_Respondentes!$H$4:$H$43,Param_Respondentes!$C$4:$C$43,B18,Param_Respondentes!$D$4:$D$43,A18),2))</f>
        <v>0.5</v>
      </c>
    </row>
    <row r="19" customFormat="false" ht="15" hidden="false" customHeight="false" outlineLevel="0" collapsed="false">
      <c r="A19" s="5" t="s">
        <v>14</v>
      </c>
      <c r="B19" s="6" t="s">
        <v>20</v>
      </c>
      <c r="C19" s="5" t="n">
        <f aca="false">COUNTIFS(Param_Respondentes!$C$4:$C$43,B19,Param_Respondentes!$D$4:$D$43,A19)</f>
        <v>0</v>
      </c>
      <c r="D19" s="5" t="str">
        <f aca="false">IF(C19=0,"",ROUND(AVERAGEIFS(Param_Respondentes!$G$4:$G$43,Param_Respondentes!$C$4:$C$43,B19,Param_Respondentes!$D$4:$D$43,A19),2))</f>
        <v/>
      </c>
      <c r="E19" s="11" t="str">
        <f aca="false">IF(C19=0,"",COUNTIFS(Param_Respondentes!$C$4:$C$43,B19,Param_Respondentes!$D$4:$D$43,A19,Param_Respondentes!$G$4:$G$43,"&gt;=-1",Param_Respondentes!$G$4:$G$43,"&lt;=1")/C19)</f>
        <v/>
      </c>
      <c r="F19" s="11" t="str">
        <f aca="false">IF(C19=0,"",COUNTIFS(Param_Respondentes!$C$4:$C$43,B19,Param_Respondentes!$D$4:$D$43,A19,Param_Respondentes!$I$4:$I$43,"Mais frio")/C19)</f>
        <v/>
      </c>
      <c r="G19" s="11" t="str">
        <f aca="false">IF(C19=0,"",COUNTIFS(Param_Respondentes!$C$4:$C$43,B19,Param_Respondentes!$D$4:$D$43,A19,Param_Respondentes!$I$4:$I$43,"Mais quente")/C19)</f>
        <v/>
      </c>
      <c r="H19" s="5" t="str">
        <f aca="false">IF(C19=0,"",ROUND(AVERAGEIFS(Param_Respondentes!$H$4:$H$43,Param_Respondentes!$C$4:$C$43,B19,Param_Respondentes!$D$4:$D$43,A19),2))</f>
        <v/>
      </c>
    </row>
    <row r="20" customFormat="false" ht="15" hidden="false" customHeight="false" outlineLevel="0" collapsed="false">
      <c r="A20" s="5" t="s">
        <v>15</v>
      </c>
      <c r="B20" s="6" t="s">
        <v>20</v>
      </c>
      <c r="C20" s="5" t="n">
        <f aca="false">COUNTIFS(Param_Respondentes!$C$4:$C$43,B20,Param_Respondentes!$D$4:$D$43,A20)</f>
        <v>0</v>
      </c>
      <c r="D20" s="5" t="str">
        <f aca="false">IF(C20=0,"",ROUND(AVERAGEIFS(Param_Respondentes!$G$4:$G$43,Param_Respondentes!$C$4:$C$43,B20,Param_Respondentes!$D$4:$D$43,A20),2))</f>
        <v/>
      </c>
      <c r="E20" s="11" t="str">
        <f aca="false">IF(C20=0,"",COUNTIFS(Param_Respondentes!$C$4:$C$43,B20,Param_Respondentes!$D$4:$D$43,A20,Param_Respondentes!$G$4:$G$43,"&gt;=-1",Param_Respondentes!$G$4:$G$43,"&lt;=1")/C20)</f>
        <v/>
      </c>
      <c r="F20" s="11" t="str">
        <f aca="false">IF(C20=0,"",COUNTIFS(Param_Respondentes!$C$4:$C$43,B20,Param_Respondentes!$D$4:$D$43,A20,Param_Respondentes!$I$4:$I$43,"Mais frio")/C20)</f>
        <v/>
      </c>
      <c r="G20" s="11" t="str">
        <f aca="false">IF(C20=0,"",COUNTIFS(Param_Respondentes!$C$4:$C$43,B20,Param_Respondentes!$D$4:$D$43,A20,Param_Respondentes!$I$4:$I$43,"Mais quente")/C20)</f>
        <v/>
      </c>
      <c r="H20" s="5" t="str">
        <f aca="false">IF(C20=0,"",ROUND(AVERAGEIFS(Param_Respondentes!$H$4:$H$43,Param_Respondentes!$C$4:$C$43,B20,Param_Respondentes!$D$4:$D$43,A20),2))</f>
        <v/>
      </c>
    </row>
    <row r="21" customFormat="false" ht="15" hidden="false" customHeight="false" outlineLevel="0" collapsed="false">
      <c r="A21" s="5" t="s">
        <v>16</v>
      </c>
      <c r="B21" s="6" t="s">
        <v>20</v>
      </c>
      <c r="C21" s="5" t="n">
        <f aca="false">COUNTIFS(Param_Respondentes!$C$4:$C$43,B21,Param_Respondentes!$D$4:$D$43,A21)</f>
        <v>10</v>
      </c>
      <c r="D21" s="5" t="n">
        <f aca="false">IF(C21=0,"",ROUND(AVERAGEIFS(Param_Respondentes!$G$4:$G$43,Param_Respondentes!$C$4:$C$43,B21,Param_Respondentes!$D$4:$D$43,A21),2))</f>
        <v>-1.6</v>
      </c>
      <c r="E21" s="11" t="n">
        <f aca="false">IF(C21=0,"",COUNTIFS(Param_Respondentes!$C$4:$C$43,B21,Param_Respondentes!$D$4:$D$43,A21,Param_Respondentes!$G$4:$G$43,"&gt;=-1",Param_Respondentes!$G$4:$G$43,"&lt;=1")/C21)</f>
        <v>0.4</v>
      </c>
      <c r="F21" s="11" t="n">
        <f aca="false">IF(C21=0,"",COUNTIFS(Param_Respondentes!$C$4:$C$43,B21,Param_Respondentes!$D$4:$D$43,A21,Param_Respondentes!$I$4:$I$43,"Mais frio")/C21)</f>
        <v>0.3</v>
      </c>
      <c r="G21" s="11" t="n">
        <f aca="false">IF(C21=0,"",COUNTIFS(Param_Respondentes!$C$4:$C$43,B21,Param_Respondentes!$D$4:$D$43,A21,Param_Respondentes!$I$4:$I$43,"Mais quente")/C21)</f>
        <v>0.2</v>
      </c>
      <c r="H21" s="5" t="n">
        <f aca="false">IF(C21=0,"",ROUND(AVERAGEIFS(Param_Respondentes!$H$4:$H$43,Param_Respondentes!$C$4:$C$43,B21,Param_Respondentes!$D$4:$D$43,A21),2))</f>
        <v>1.5</v>
      </c>
    </row>
    <row r="22" customFormat="false" ht="15" hidden="false" customHeight="false" outlineLevel="0" collapsed="false">
      <c r="A22" s="5" t="s">
        <v>17</v>
      </c>
      <c r="B22" s="6" t="s">
        <v>20</v>
      </c>
      <c r="C22" s="5" t="n">
        <f aca="false">COUNTIFS(Param_Respondentes!$C$4:$C$43,B22,Param_Respondentes!$D$4:$D$43,A22)</f>
        <v>1</v>
      </c>
      <c r="D22" s="5" t="n">
        <f aca="false">IF(C22=0,"",ROUND(AVERAGEIFS(Param_Respondentes!$G$4:$G$43,Param_Respondentes!$C$4:$C$43,B22,Param_Respondentes!$D$4:$D$43,A22),2))</f>
        <v>-1</v>
      </c>
      <c r="E22" s="11" t="n">
        <f aca="false">IF(C22=0,"",COUNTIFS(Param_Respondentes!$C$4:$C$43,B22,Param_Respondentes!$D$4:$D$43,A22,Param_Respondentes!$G$4:$G$43,"&gt;=-1",Param_Respondentes!$G$4:$G$43,"&lt;=1")/C22)</f>
        <v>1</v>
      </c>
      <c r="F22" s="11" t="n">
        <f aca="false">IF(C22=0,"",COUNTIFS(Param_Respondentes!$C$4:$C$43,B22,Param_Respondentes!$D$4:$D$43,A22,Param_Respondentes!$I$4:$I$43,"Mais frio")/C22)</f>
        <v>0</v>
      </c>
      <c r="G22" s="11" t="n">
        <f aca="false">IF(C22=0,"",COUNTIFS(Param_Respondentes!$C$4:$C$43,B22,Param_Respondentes!$D$4:$D$43,A22,Param_Respondentes!$I$4:$I$43,"Mais quente")/C22)</f>
        <v>0</v>
      </c>
      <c r="H22" s="5" t="n">
        <f aca="false">IF(C22=0,"",ROUND(AVERAGEIFS(Param_Respondentes!$H$4:$H$43,Param_Respondentes!$C$4:$C$43,B22,Param_Respondentes!$D$4:$D$43,A22),2))</f>
        <v>2</v>
      </c>
    </row>
    <row r="23" customFormat="false" ht="15" hidden="false" customHeight="false" outlineLevel="0" collapsed="false">
      <c r="A23" s="12" t="s">
        <v>33</v>
      </c>
      <c r="B23" s="13" t="s">
        <v>34</v>
      </c>
      <c r="C23" s="12" t="n">
        <f aca="false">COUNTA(Param_Respondentes!$A$4:$A$43)</f>
        <v>40</v>
      </c>
      <c r="D23" s="12" t="n">
        <f aca="false">ROUND(AVERAGE(Param_Respondentes!$G$4:$G$43),2)</f>
        <v>-0.98</v>
      </c>
      <c r="E23" s="14" t="n">
        <f aca="false">COUNTIFS(Param_Respondentes!$G$4:$G$43,"&gt;=-1",Param_Respondentes!$G$4:$G$43,"&lt;=1")/C23</f>
        <v>0.75</v>
      </c>
      <c r="F23" s="14" t="n">
        <f aca="false">COUNTIFS(Param_Respondentes!$I$4:$I$43,"Mais frio")/C23</f>
        <v>0.4</v>
      </c>
      <c r="G23" s="14" t="n">
        <f aca="false">COUNTIFS(Param_Respondentes!$I$4:$I$43,"Mais quente")/C23</f>
        <v>0.125</v>
      </c>
      <c r="H23" s="12" t="n">
        <f aca="false">ROUND(AVERAGE(Param_Respondentes!$H$4:$H$43),2)</f>
        <v>0.7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8"/>
    <col collapsed="false" customWidth="true" hidden="false" outlineLevel="0" max="5" min="4" style="0" width="8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20"/>
  </cols>
  <sheetData>
    <row r="1" customFormat="false" ht="15" hidden="false" customHeight="false" outlineLevel="0" collapsed="false">
      <c r="A1" s="9" t="s">
        <v>35</v>
      </c>
    </row>
    <row r="3" customFormat="false" ht="15" hidden="false" customHeight="false" outlineLevel="0" collapsed="false">
      <c r="A3" s="4" t="s">
        <v>36</v>
      </c>
      <c r="B3" s="4" t="s">
        <v>37</v>
      </c>
      <c r="C3" s="4" t="s">
        <v>38</v>
      </c>
      <c r="D3" s="4" t="s">
        <v>2</v>
      </c>
      <c r="E3" s="4" t="s">
        <v>7</v>
      </c>
      <c r="F3" s="4" t="s">
        <v>8</v>
      </c>
      <c r="G3" s="4" t="s">
        <v>39</v>
      </c>
      <c r="H3" s="4" t="s">
        <v>40</v>
      </c>
      <c r="I3" s="4" t="s">
        <v>41</v>
      </c>
    </row>
    <row r="4" customFormat="false" ht="15" hidden="false" customHeight="false" outlineLevel="0" collapsed="false">
      <c r="A4" s="15" t="s">
        <v>42</v>
      </c>
      <c r="B4" s="15" t="s">
        <v>43</v>
      </c>
      <c r="C4" s="5" t="s">
        <v>18</v>
      </c>
      <c r="D4" s="5" t="s">
        <v>17</v>
      </c>
      <c r="E4" s="5" t="n">
        <v>1</v>
      </c>
      <c r="F4" s="5" t="n">
        <v>0.69</v>
      </c>
      <c r="G4" s="5" t="n">
        <v>-1</v>
      </c>
      <c r="H4" s="5" t="n">
        <v>2</v>
      </c>
      <c r="I4" s="5" t="s">
        <v>44</v>
      </c>
    </row>
    <row r="5" customFormat="false" ht="15" hidden="false" customHeight="false" outlineLevel="0" collapsed="false">
      <c r="A5" s="15" t="s">
        <v>45</v>
      </c>
      <c r="B5" s="15" t="s">
        <v>43</v>
      </c>
      <c r="C5" s="5" t="s">
        <v>18</v>
      </c>
      <c r="D5" s="5" t="s">
        <v>17</v>
      </c>
      <c r="E5" s="5" t="n">
        <v>1.1</v>
      </c>
      <c r="F5" s="5" t="n">
        <v>0.47</v>
      </c>
      <c r="G5" s="5" t="n">
        <v>-1</v>
      </c>
      <c r="H5" s="5" t="n">
        <v>0</v>
      </c>
      <c r="I5" s="5" t="s">
        <v>44</v>
      </c>
    </row>
    <row r="6" customFormat="false" ht="15" hidden="false" customHeight="false" outlineLevel="0" collapsed="false">
      <c r="A6" s="15" t="s">
        <v>46</v>
      </c>
      <c r="B6" s="15" t="s">
        <v>43</v>
      </c>
      <c r="C6" s="5" t="s">
        <v>18</v>
      </c>
      <c r="D6" s="5" t="s">
        <v>16</v>
      </c>
      <c r="E6" s="5" t="n">
        <v>1.1</v>
      </c>
      <c r="F6" s="5" t="n">
        <v>0.29</v>
      </c>
      <c r="G6" s="5" t="n">
        <v>1</v>
      </c>
      <c r="H6" s="5" t="n">
        <v>-1</v>
      </c>
      <c r="I6" s="5" t="s">
        <v>47</v>
      </c>
    </row>
    <row r="7" customFormat="false" ht="15" hidden="false" customHeight="false" outlineLevel="0" collapsed="false">
      <c r="A7" s="15" t="s">
        <v>48</v>
      </c>
      <c r="B7" s="15" t="s">
        <v>43</v>
      </c>
      <c r="C7" s="5" t="s">
        <v>18</v>
      </c>
      <c r="D7" s="5" t="s">
        <v>17</v>
      </c>
      <c r="E7" s="5" t="n">
        <v>1</v>
      </c>
      <c r="F7" s="5" t="n">
        <v>0.4</v>
      </c>
      <c r="G7" s="5" t="n">
        <v>0</v>
      </c>
      <c r="H7" s="5" t="n">
        <v>-2</v>
      </c>
      <c r="I7" s="5" t="s">
        <v>47</v>
      </c>
    </row>
    <row r="8" customFormat="false" ht="15" hidden="false" customHeight="false" outlineLevel="0" collapsed="false">
      <c r="A8" s="15" t="s">
        <v>49</v>
      </c>
      <c r="B8" s="15" t="s">
        <v>43</v>
      </c>
      <c r="C8" s="5" t="s">
        <v>18</v>
      </c>
      <c r="D8" s="5" t="s">
        <v>16</v>
      </c>
      <c r="E8" s="5" t="n">
        <v>1</v>
      </c>
      <c r="F8" s="5" t="n">
        <v>0.44</v>
      </c>
      <c r="G8" s="5" t="n">
        <v>-1</v>
      </c>
      <c r="H8" s="5" t="n">
        <v>2</v>
      </c>
      <c r="I8" s="5" t="s">
        <v>44</v>
      </c>
    </row>
    <row r="9" customFormat="false" ht="15" hidden="false" customHeight="false" outlineLevel="0" collapsed="false">
      <c r="A9" s="15" t="s">
        <v>50</v>
      </c>
      <c r="B9" s="15" t="s">
        <v>43</v>
      </c>
      <c r="C9" s="5" t="s">
        <v>18</v>
      </c>
      <c r="D9" s="5" t="s">
        <v>16</v>
      </c>
      <c r="E9" s="5" t="n">
        <v>1</v>
      </c>
      <c r="F9" s="5" t="n">
        <v>0.29</v>
      </c>
      <c r="G9" s="5" t="n">
        <v>-1</v>
      </c>
      <c r="H9" s="5" t="n">
        <v>2</v>
      </c>
      <c r="I9" s="5" t="s">
        <v>44</v>
      </c>
    </row>
    <row r="10" customFormat="false" ht="15" hidden="false" customHeight="false" outlineLevel="0" collapsed="false">
      <c r="A10" s="15" t="s">
        <v>51</v>
      </c>
      <c r="B10" s="15" t="s">
        <v>43</v>
      </c>
      <c r="C10" s="5" t="s">
        <v>20</v>
      </c>
      <c r="D10" s="5" t="s">
        <v>13</v>
      </c>
      <c r="E10" s="5" t="n">
        <v>1.1</v>
      </c>
      <c r="F10" s="5" t="n">
        <v>0.49</v>
      </c>
      <c r="G10" s="5" t="n">
        <v>0</v>
      </c>
      <c r="H10" s="5" t="n">
        <v>-1</v>
      </c>
      <c r="I10" s="5" t="s">
        <v>47</v>
      </c>
    </row>
    <row r="11" customFormat="false" ht="15" hidden="false" customHeight="false" outlineLevel="0" collapsed="false">
      <c r="A11" s="15" t="s">
        <v>52</v>
      </c>
      <c r="B11" s="15" t="s">
        <v>43</v>
      </c>
      <c r="C11" s="5" t="s">
        <v>20</v>
      </c>
      <c r="D11" s="5" t="s">
        <v>17</v>
      </c>
      <c r="E11" s="5" t="n">
        <v>1</v>
      </c>
      <c r="F11" s="5" t="n">
        <v>0.49</v>
      </c>
      <c r="G11" s="5" t="n">
        <v>-1</v>
      </c>
      <c r="H11" s="5" t="n">
        <v>2</v>
      </c>
      <c r="I11" s="5" t="s">
        <v>44</v>
      </c>
    </row>
    <row r="12" customFormat="false" ht="15" hidden="false" customHeight="false" outlineLevel="0" collapsed="false">
      <c r="A12" s="15" t="s">
        <v>53</v>
      </c>
      <c r="B12" s="15" t="s">
        <v>54</v>
      </c>
      <c r="C12" s="5" t="s">
        <v>11</v>
      </c>
      <c r="D12" s="5" t="s">
        <v>13</v>
      </c>
      <c r="E12" s="5" t="n">
        <v>1.1</v>
      </c>
      <c r="F12" s="5" t="n">
        <v>0.29</v>
      </c>
      <c r="G12" s="5" t="n">
        <v>0</v>
      </c>
      <c r="H12" s="5" t="n">
        <v>-1</v>
      </c>
      <c r="I12" s="5" t="s">
        <v>47</v>
      </c>
    </row>
    <row r="13" customFormat="false" ht="15" hidden="false" customHeight="false" outlineLevel="0" collapsed="false">
      <c r="A13" s="15" t="s">
        <v>55</v>
      </c>
      <c r="B13" s="15" t="s">
        <v>54</v>
      </c>
      <c r="C13" s="5" t="s">
        <v>11</v>
      </c>
      <c r="D13" s="5" t="s">
        <v>16</v>
      </c>
      <c r="E13" s="5" t="n">
        <v>1.1</v>
      </c>
      <c r="F13" s="5" t="n">
        <v>0.31</v>
      </c>
      <c r="G13" s="5" t="n">
        <v>0</v>
      </c>
      <c r="H13" s="5" t="n">
        <v>1</v>
      </c>
      <c r="I13" s="5" t="s">
        <v>47</v>
      </c>
    </row>
    <row r="14" customFormat="false" ht="15" hidden="false" customHeight="false" outlineLevel="0" collapsed="false">
      <c r="A14" s="15" t="s">
        <v>56</v>
      </c>
      <c r="B14" s="15" t="s">
        <v>54</v>
      </c>
      <c r="C14" s="5" t="s">
        <v>11</v>
      </c>
      <c r="D14" s="5" t="s">
        <v>16</v>
      </c>
      <c r="E14" s="5" t="n">
        <v>1</v>
      </c>
      <c r="F14" s="5" t="n">
        <v>0.49</v>
      </c>
      <c r="G14" s="5" t="n">
        <v>-1</v>
      </c>
      <c r="H14" s="5" t="n">
        <v>2</v>
      </c>
      <c r="I14" s="5" t="s">
        <v>44</v>
      </c>
    </row>
    <row r="15" customFormat="false" ht="15" hidden="false" customHeight="false" outlineLevel="0" collapsed="false">
      <c r="A15" s="15" t="s">
        <v>57</v>
      </c>
      <c r="B15" s="15" t="s">
        <v>54</v>
      </c>
      <c r="C15" s="5" t="s">
        <v>11</v>
      </c>
      <c r="D15" s="5" t="s">
        <v>16</v>
      </c>
      <c r="E15" s="5" t="n">
        <v>1</v>
      </c>
      <c r="F15" s="5" t="n">
        <v>0.47</v>
      </c>
      <c r="G15" s="5" t="n">
        <v>-1</v>
      </c>
      <c r="H15" s="5" t="n">
        <v>2</v>
      </c>
      <c r="I15" s="5" t="s">
        <v>47</v>
      </c>
    </row>
    <row r="16" customFormat="false" ht="15" hidden="false" customHeight="false" outlineLevel="0" collapsed="false">
      <c r="A16" s="15" t="s">
        <v>58</v>
      </c>
      <c r="B16" s="15" t="s">
        <v>54</v>
      </c>
      <c r="C16" s="5" t="s">
        <v>11</v>
      </c>
      <c r="D16" s="5" t="s">
        <v>17</v>
      </c>
      <c r="E16" s="5" t="n">
        <v>1.1</v>
      </c>
      <c r="F16" s="5" t="n">
        <v>0.49</v>
      </c>
      <c r="G16" s="5" t="n">
        <v>-1</v>
      </c>
      <c r="H16" s="5" t="n">
        <v>1</v>
      </c>
      <c r="I16" s="5" t="s">
        <v>47</v>
      </c>
    </row>
    <row r="17" customFormat="false" ht="15" hidden="false" customHeight="false" outlineLevel="0" collapsed="false">
      <c r="A17" s="15" t="s">
        <v>59</v>
      </c>
      <c r="B17" s="15" t="s">
        <v>54</v>
      </c>
      <c r="C17" s="5" t="s">
        <v>11</v>
      </c>
      <c r="D17" s="5" t="s">
        <v>16</v>
      </c>
      <c r="E17" s="5" t="n">
        <v>1</v>
      </c>
      <c r="F17" s="5" t="n">
        <v>0.49</v>
      </c>
      <c r="G17" s="5" t="n">
        <v>-1</v>
      </c>
      <c r="H17" s="5" t="n">
        <v>2</v>
      </c>
      <c r="I17" s="5" t="s">
        <v>44</v>
      </c>
    </row>
    <row r="18" customFormat="false" ht="15" hidden="false" customHeight="false" outlineLevel="0" collapsed="false">
      <c r="A18" s="15" t="s">
        <v>60</v>
      </c>
      <c r="B18" s="15" t="s">
        <v>54</v>
      </c>
      <c r="C18" s="5" t="s">
        <v>11</v>
      </c>
      <c r="D18" s="5" t="s">
        <v>17</v>
      </c>
      <c r="E18" s="5" t="n">
        <v>1</v>
      </c>
      <c r="F18" s="5" t="n">
        <v>0.33</v>
      </c>
      <c r="G18" s="5" t="n">
        <v>-1</v>
      </c>
      <c r="H18" s="5" t="n">
        <v>1</v>
      </c>
      <c r="I18" s="5" t="s">
        <v>44</v>
      </c>
    </row>
    <row r="19" customFormat="false" ht="15" hidden="false" customHeight="false" outlineLevel="0" collapsed="false">
      <c r="A19" s="15" t="s">
        <v>61</v>
      </c>
      <c r="B19" s="15" t="s">
        <v>54</v>
      </c>
      <c r="C19" s="5" t="s">
        <v>11</v>
      </c>
      <c r="D19" s="5" t="s">
        <v>13</v>
      </c>
      <c r="E19" s="5" t="n">
        <v>1</v>
      </c>
      <c r="F19" s="5" t="n">
        <v>0.55</v>
      </c>
      <c r="G19" s="5" t="n">
        <v>-1</v>
      </c>
      <c r="H19" s="5" t="n">
        <v>-1</v>
      </c>
      <c r="I19" s="5" t="s">
        <v>47</v>
      </c>
    </row>
    <row r="20" customFormat="false" ht="15" hidden="false" customHeight="false" outlineLevel="0" collapsed="false">
      <c r="A20" s="15" t="s">
        <v>62</v>
      </c>
      <c r="B20" s="15" t="s">
        <v>54</v>
      </c>
      <c r="C20" s="5" t="s">
        <v>18</v>
      </c>
      <c r="D20" s="5" t="s">
        <v>16</v>
      </c>
      <c r="E20" s="5" t="n">
        <v>1</v>
      </c>
      <c r="F20" s="5" t="n">
        <v>0.47</v>
      </c>
      <c r="G20" s="5" t="n">
        <v>-1</v>
      </c>
      <c r="H20" s="5" t="n">
        <v>1</v>
      </c>
      <c r="I20" s="5" t="s">
        <v>47</v>
      </c>
    </row>
    <row r="21" customFormat="false" ht="15" hidden="false" customHeight="false" outlineLevel="0" collapsed="false">
      <c r="A21" s="15" t="s">
        <v>63</v>
      </c>
      <c r="B21" s="15" t="s">
        <v>54</v>
      </c>
      <c r="C21" s="5" t="s">
        <v>18</v>
      </c>
      <c r="D21" s="5" t="s">
        <v>16</v>
      </c>
      <c r="E21" s="5" t="n">
        <v>1</v>
      </c>
      <c r="F21" s="5" t="n">
        <v>0.29</v>
      </c>
      <c r="G21" s="5" t="n">
        <v>-1</v>
      </c>
      <c r="H21" s="5" t="n">
        <v>2</v>
      </c>
      <c r="I21" s="5" t="s">
        <v>44</v>
      </c>
    </row>
    <row r="22" customFormat="false" ht="15" hidden="false" customHeight="false" outlineLevel="0" collapsed="false">
      <c r="A22" s="15" t="s">
        <v>64</v>
      </c>
      <c r="B22" s="15" t="s">
        <v>54</v>
      </c>
      <c r="C22" s="5" t="s">
        <v>18</v>
      </c>
      <c r="D22" s="5" t="s">
        <v>16</v>
      </c>
      <c r="E22" s="5" t="n">
        <v>1.1</v>
      </c>
      <c r="F22" s="5" t="n">
        <v>0.49</v>
      </c>
      <c r="G22" s="5" t="n">
        <v>-1</v>
      </c>
      <c r="H22" s="5" t="n">
        <v>-3</v>
      </c>
      <c r="I22" s="5" t="s">
        <v>44</v>
      </c>
    </row>
    <row r="23" customFormat="false" ht="15" hidden="false" customHeight="false" outlineLevel="0" collapsed="false">
      <c r="A23" s="15" t="s">
        <v>65</v>
      </c>
      <c r="B23" s="15" t="s">
        <v>54</v>
      </c>
      <c r="C23" s="5" t="s">
        <v>18</v>
      </c>
      <c r="D23" s="5" t="s">
        <v>17</v>
      </c>
      <c r="E23" s="5" t="n">
        <v>1.4</v>
      </c>
      <c r="F23" s="5" t="n">
        <v>0.49</v>
      </c>
      <c r="G23" s="5" t="n">
        <v>-1</v>
      </c>
      <c r="H23" s="5" t="n">
        <v>2</v>
      </c>
      <c r="I23" s="5" t="s">
        <v>47</v>
      </c>
    </row>
    <row r="24" customFormat="false" ht="15" hidden="false" customHeight="false" outlineLevel="0" collapsed="false">
      <c r="A24" s="15" t="s">
        <v>66</v>
      </c>
      <c r="B24" s="15" t="s">
        <v>54</v>
      </c>
      <c r="C24" s="5" t="s">
        <v>20</v>
      </c>
      <c r="D24" s="5" t="s">
        <v>13</v>
      </c>
      <c r="E24" s="5" t="n">
        <v>1</v>
      </c>
      <c r="F24" s="5" t="n">
        <v>0.55</v>
      </c>
      <c r="G24" s="5" t="n">
        <v>-2</v>
      </c>
      <c r="H24" s="5" t="n">
        <v>2</v>
      </c>
      <c r="I24" s="5" t="s">
        <v>44</v>
      </c>
    </row>
    <row r="25" customFormat="false" ht="15" hidden="false" customHeight="false" outlineLevel="0" collapsed="false">
      <c r="A25" s="15" t="s">
        <v>67</v>
      </c>
      <c r="B25" s="15" t="s">
        <v>68</v>
      </c>
      <c r="C25" s="5" t="s">
        <v>18</v>
      </c>
      <c r="D25" s="5" t="s">
        <v>16</v>
      </c>
      <c r="E25" s="5" t="n">
        <v>1.1</v>
      </c>
      <c r="F25" s="5" t="n">
        <v>0.78</v>
      </c>
      <c r="G25" s="5" t="n">
        <v>-3</v>
      </c>
      <c r="H25" s="5" t="n">
        <v>-1</v>
      </c>
      <c r="I25" s="5" t="s">
        <v>69</v>
      </c>
    </row>
    <row r="26" customFormat="false" ht="15" hidden="false" customHeight="false" outlineLevel="0" collapsed="false">
      <c r="A26" s="15" t="s">
        <v>70</v>
      </c>
      <c r="B26" s="15" t="s">
        <v>68</v>
      </c>
      <c r="C26" s="5" t="s">
        <v>20</v>
      </c>
      <c r="D26" s="5" t="s">
        <v>16</v>
      </c>
      <c r="E26" s="5" t="n">
        <v>1.1</v>
      </c>
      <c r="F26" s="5" t="n">
        <v>0.49</v>
      </c>
      <c r="G26" s="5" t="n">
        <v>-2</v>
      </c>
      <c r="H26" s="5" t="n">
        <v>3</v>
      </c>
      <c r="I26" s="5" t="s">
        <v>44</v>
      </c>
    </row>
    <row r="27" customFormat="false" ht="15" hidden="false" customHeight="false" outlineLevel="0" collapsed="false">
      <c r="A27" s="15" t="s">
        <v>71</v>
      </c>
      <c r="B27" s="15" t="s">
        <v>68</v>
      </c>
      <c r="C27" s="5" t="s">
        <v>20</v>
      </c>
      <c r="D27" s="5" t="s">
        <v>16</v>
      </c>
      <c r="E27" s="5" t="n">
        <v>1.1</v>
      </c>
      <c r="F27" s="5" t="n">
        <v>0.49</v>
      </c>
      <c r="G27" s="5" t="n">
        <v>-2</v>
      </c>
      <c r="H27" s="5" t="n">
        <v>2</v>
      </c>
      <c r="I27" s="5" t="s">
        <v>47</v>
      </c>
    </row>
    <row r="28" customFormat="false" ht="15" hidden="false" customHeight="false" outlineLevel="0" collapsed="false">
      <c r="A28" s="15" t="s">
        <v>72</v>
      </c>
      <c r="B28" s="15" t="s">
        <v>68</v>
      </c>
      <c r="C28" s="5" t="s">
        <v>20</v>
      </c>
      <c r="D28" s="5" t="s">
        <v>16</v>
      </c>
      <c r="E28" s="5" t="n">
        <v>1</v>
      </c>
      <c r="F28" s="5" t="n">
        <v>0.49</v>
      </c>
      <c r="G28" s="5" t="n">
        <v>-1</v>
      </c>
      <c r="H28" s="5" t="n">
        <v>1</v>
      </c>
      <c r="I28" s="5" t="s">
        <v>47</v>
      </c>
    </row>
    <row r="29" customFormat="false" ht="15" hidden="false" customHeight="false" outlineLevel="0" collapsed="false">
      <c r="A29" s="15" t="s">
        <v>73</v>
      </c>
      <c r="B29" s="15" t="s">
        <v>68</v>
      </c>
      <c r="C29" s="5" t="s">
        <v>20</v>
      </c>
      <c r="D29" s="5" t="s">
        <v>13</v>
      </c>
      <c r="E29" s="5" t="n">
        <v>1</v>
      </c>
      <c r="F29" s="5" t="n">
        <v>0.49</v>
      </c>
      <c r="G29" s="5" t="n">
        <v>0</v>
      </c>
      <c r="H29" s="5" t="n">
        <v>2</v>
      </c>
      <c r="I29" s="5" t="s">
        <v>47</v>
      </c>
    </row>
    <row r="30" customFormat="false" ht="15" hidden="false" customHeight="false" outlineLevel="0" collapsed="false">
      <c r="A30" s="15" t="s">
        <v>74</v>
      </c>
      <c r="B30" s="15" t="s">
        <v>68</v>
      </c>
      <c r="C30" s="5" t="s">
        <v>20</v>
      </c>
      <c r="D30" s="5" t="s">
        <v>16</v>
      </c>
      <c r="E30" s="5" t="n">
        <v>1.1</v>
      </c>
      <c r="F30" s="5" t="n">
        <v>0.49</v>
      </c>
      <c r="G30" s="5" t="n">
        <v>-1</v>
      </c>
      <c r="H30" s="5" t="n">
        <v>3</v>
      </c>
      <c r="I30" s="5" t="s">
        <v>44</v>
      </c>
    </row>
    <row r="31" customFormat="false" ht="15" hidden="false" customHeight="false" outlineLevel="0" collapsed="false">
      <c r="A31" s="15" t="s">
        <v>75</v>
      </c>
      <c r="B31" s="15" t="s">
        <v>68</v>
      </c>
      <c r="C31" s="5" t="s">
        <v>20</v>
      </c>
      <c r="D31" s="5" t="s">
        <v>10</v>
      </c>
      <c r="E31" s="5" t="n">
        <v>1</v>
      </c>
      <c r="F31" s="5" t="n">
        <v>0.49</v>
      </c>
      <c r="G31" s="5" t="n">
        <v>-1</v>
      </c>
      <c r="H31" s="5" t="n">
        <v>-3</v>
      </c>
      <c r="I31" s="5" t="s">
        <v>44</v>
      </c>
    </row>
    <row r="32" customFormat="false" ht="15" hidden="false" customHeight="false" outlineLevel="0" collapsed="false">
      <c r="A32" s="15" t="s">
        <v>76</v>
      </c>
      <c r="B32" s="15" t="s">
        <v>77</v>
      </c>
      <c r="C32" s="5" t="s">
        <v>20</v>
      </c>
      <c r="D32" s="5" t="s">
        <v>16</v>
      </c>
      <c r="E32" s="5" t="n">
        <v>1.1</v>
      </c>
      <c r="F32" s="5" t="n">
        <v>0.49</v>
      </c>
      <c r="G32" s="5" t="n">
        <v>-2</v>
      </c>
      <c r="H32" s="5" t="n">
        <v>2</v>
      </c>
      <c r="I32" s="5" t="s">
        <v>44</v>
      </c>
    </row>
    <row r="33" customFormat="false" ht="15" hidden="false" customHeight="false" outlineLevel="0" collapsed="false">
      <c r="A33" s="15" t="s">
        <v>78</v>
      </c>
      <c r="B33" s="15" t="s">
        <v>77</v>
      </c>
      <c r="C33" s="5" t="s">
        <v>20</v>
      </c>
      <c r="D33" s="5" t="s">
        <v>10</v>
      </c>
      <c r="E33" s="5" t="n">
        <v>1</v>
      </c>
      <c r="F33" s="5" t="n">
        <v>0.81</v>
      </c>
      <c r="G33" s="5" t="n">
        <v>-2</v>
      </c>
      <c r="H33" s="5" t="n">
        <v>-1</v>
      </c>
      <c r="I33" s="5" t="s">
        <v>69</v>
      </c>
    </row>
    <row r="34" customFormat="false" ht="15" hidden="false" customHeight="false" outlineLevel="0" collapsed="false">
      <c r="A34" s="15" t="s">
        <v>79</v>
      </c>
      <c r="B34" s="15" t="s">
        <v>77</v>
      </c>
      <c r="C34" s="5" t="s">
        <v>20</v>
      </c>
      <c r="D34" s="5" t="s">
        <v>16</v>
      </c>
      <c r="E34" s="5" t="n">
        <v>1.1</v>
      </c>
      <c r="F34" s="5" t="n">
        <v>0.29</v>
      </c>
      <c r="G34" s="5" t="n">
        <v>-1</v>
      </c>
      <c r="H34" s="5" t="n">
        <v>2</v>
      </c>
      <c r="I34" s="5" t="s">
        <v>44</v>
      </c>
    </row>
    <row r="35" customFormat="false" ht="15" hidden="false" customHeight="false" outlineLevel="0" collapsed="false">
      <c r="A35" s="15" t="s">
        <v>80</v>
      </c>
      <c r="B35" s="15" t="s">
        <v>77</v>
      </c>
      <c r="C35" s="5" t="s">
        <v>20</v>
      </c>
      <c r="D35" s="5" t="s">
        <v>10</v>
      </c>
      <c r="E35" s="5" t="n">
        <v>1.1</v>
      </c>
      <c r="F35" s="5" t="n">
        <v>0.72</v>
      </c>
      <c r="G35" s="5" t="n">
        <v>-2</v>
      </c>
      <c r="H35" s="5" t="n">
        <v>-1</v>
      </c>
      <c r="I35" s="5" t="s">
        <v>69</v>
      </c>
    </row>
    <row r="36" customFormat="false" ht="15" hidden="false" customHeight="false" outlineLevel="0" collapsed="false">
      <c r="A36" s="15" t="s">
        <v>81</v>
      </c>
      <c r="B36" s="15" t="s">
        <v>77</v>
      </c>
      <c r="C36" s="5" t="s">
        <v>20</v>
      </c>
      <c r="D36" s="5" t="s">
        <v>10</v>
      </c>
      <c r="E36" s="5" t="n">
        <v>1</v>
      </c>
      <c r="F36" s="5" t="n">
        <v>0.57</v>
      </c>
      <c r="G36" s="5" t="n">
        <v>1</v>
      </c>
      <c r="H36" s="5" t="n">
        <v>-1</v>
      </c>
      <c r="I36" s="5" t="s">
        <v>47</v>
      </c>
    </row>
    <row r="37" customFormat="false" ht="15" hidden="false" customHeight="false" outlineLevel="0" collapsed="false">
      <c r="A37" s="15" t="s">
        <v>82</v>
      </c>
      <c r="B37" s="15" t="s">
        <v>77</v>
      </c>
      <c r="C37" s="5" t="s">
        <v>20</v>
      </c>
      <c r="D37" s="5" t="s">
        <v>10</v>
      </c>
      <c r="E37" s="5" t="n">
        <v>1</v>
      </c>
      <c r="F37" s="5" t="n">
        <v>0.49</v>
      </c>
      <c r="G37" s="5" t="n">
        <v>-1</v>
      </c>
      <c r="H37" s="5" t="n">
        <v>2</v>
      </c>
      <c r="I37" s="5" t="s">
        <v>44</v>
      </c>
    </row>
    <row r="38" customFormat="false" ht="15" hidden="false" customHeight="false" outlineLevel="0" collapsed="false">
      <c r="A38" s="15" t="s">
        <v>83</v>
      </c>
      <c r="B38" s="15" t="s">
        <v>77</v>
      </c>
      <c r="C38" s="5" t="s">
        <v>20</v>
      </c>
      <c r="D38" s="5" t="s">
        <v>16</v>
      </c>
      <c r="E38" s="5" t="n">
        <v>1.1</v>
      </c>
      <c r="F38" s="5" t="n">
        <v>0.53</v>
      </c>
      <c r="G38" s="5" t="n">
        <v>-2</v>
      </c>
      <c r="H38" s="5" t="n">
        <v>1</v>
      </c>
      <c r="I38" s="5" t="s">
        <v>69</v>
      </c>
    </row>
    <row r="39" customFormat="false" ht="15" hidden="false" customHeight="false" outlineLevel="0" collapsed="false">
      <c r="A39" s="15" t="s">
        <v>84</v>
      </c>
      <c r="B39" s="15" t="s">
        <v>77</v>
      </c>
      <c r="C39" s="5" t="s">
        <v>20</v>
      </c>
      <c r="D39" s="5" t="s">
        <v>13</v>
      </c>
      <c r="E39" s="5" t="n">
        <v>1</v>
      </c>
      <c r="F39" s="5" t="n">
        <v>0.41</v>
      </c>
      <c r="G39" s="5" t="n">
        <v>1</v>
      </c>
      <c r="H39" s="5" t="n">
        <v>-1</v>
      </c>
      <c r="I39" s="5" t="s">
        <v>47</v>
      </c>
    </row>
    <row r="40" customFormat="false" ht="15" hidden="false" customHeight="false" outlineLevel="0" collapsed="false">
      <c r="A40" s="15" t="s">
        <v>85</v>
      </c>
      <c r="B40" s="15" t="s">
        <v>77</v>
      </c>
      <c r="C40" s="5" t="s">
        <v>20</v>
      </c>
      <c r="D40" s="5" t="s">
        <v>16</v>
      </c>
      <c r="E40" s="5" t="n">
        <v>1</v>
      </c>
      <c r="F40" s="5" t="n">
        <v>0.49</v>
      </c>
      <c r="G40" s="5" t="n">
        <v>-2</v>
      </c>
      <c r="H40" s="5" t="n">
        <v>2</v>
      </c>
      <c r="I40" s="5" t="s">
        <v>44</v>
      </c>
    </row>
    <row r="41" customFormat="false" ht="15" hidden="false" customHeight="false" outlineLevel="0" collapsed="false">
      <c r="A41" s="15" t="s">
        <v>86</v>
      </c>
      <c r="B41" s="15" t="s">
        <v>77</v>
      </c>
      <c r="C41" s="5" t="s">
        <v>20</v>
      </c>
      <c r="D41" s="5" t="s">
        <v>16</v>
      </c>
      <c r="E41" s="5" t="n">
        <v>1</v>
      </c>
      <c r="F41" s="5" t="n">
        <v>0.29</v>
      </c>
      <c r="G41" s="5" t="n">
        <v>0</v>
      </c>
      <c r="H41" s="5" t="n">
        <v>1</v>
      </c>
      <c r="I41" s="5" t="s">
        <v>47</v>
      </c>
    </row>
    <row r="42" customFormat="false" ht="15" hidden="false" customHeight="false" outlineLevel="0" collapsed="false">
      <c r="A42" s="15" t="s">
        <v>87</v>
      </c>
      <c r="B42" s="15" t="s">
        <v>77</v>
      </c>
      <c r="C42" s="5" t="s">
        <v>20</v>
      </c>
      <c r="D42" s="5" t="s">
        <v>10</v>
      </c>
      <c r="E42" s="5" t="n">
        <v>1.1</v>
      </c>
      <c r="F42" s="5" t="n">
        <v>0.66</v>
      </c>
      <c r="G42" s="5" t="n">
        <v>0</v>
      </c>
      <c r="H42" s="5" t="n">
        <v>2</v>
      </c>
      <c r="I42" s="5" t="s">
        <v>44</v>
      </c>
    </row>
    <row r="43" customFormat="false" ht="15" hidden="false" customHeight="false" outlineLevel="0" collapsed="false">
      <c r="A43" s="15" t="s">
        <v>88</v>
      </c>
      <c r="B43" s="15" t="s">
        <v>77</v>
      </c>
      <c r="C43" s="5" t="s">
        <v>20</v>
      </c>
      <c r="D43" s="5" t="s">
        <v>16</v>
      </c>
      <c r="E43" s="5" t="n">
        <v>1</v>
      </c>
      <c r="F43" s="5" t="n">
        <v>0.29</v>
      </c>
      <c r="G43" s="5" t="n">
        <v>-3</v>
      </c>
      <c r="H43" s="5" t="n">
        <v>-2</v>
      </c>
      <c r="I43" s="5" t="s">
        <v>69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52"/>
  </cols>
  <sheetData>
    <row r="1" customFormat="false" ht="15" hidden="false" customHeight="false" outlineLevel="0" collapsed="false">
      <c r="A1" s="1" t="s">
        <v>89</v>
      </c>
    </row>
    <row r="3" customFormat="false" ht="15" hidden="false" customHeight="false" outlineLevel="0" collapsed="false">
      <c r="A3" s="4" t="s">
        <v>90</v>
      </c>
      <c r="B3" s="4" t="s">
        <v>91</v>
      </c>
      <c r="C3" s="4" t="s">
        <v>92</v>
      </c>
      <c r="D3" s="4" t="s">
        <v>93</v>
      </c>
    </row>
    <row r="4" customFormat="false" ht="15" hidden="false" customHeight="false" outlineLevel="0" collapsed="false">
      <c r="A4" s="16" t="s">
        <v>94</v>
      </c>
      <c r="B4" s="16"/>
      <c r="C4" s="16"/>
      <c r="D4" s="16"/>
    </row>
    <row r="5" customFormat="false" ht="15" hidden="false" customHeight="false" outlineLevel="0" collapsed="false">
      <c r="A5" s="15" t="s">
        <v>95</v>
      </c>
      <c r="B5" s="8" t="n">
        <v>1</v>
      </c>
      <c r="C5" s="15" t="s">
        <v>96</v>
      </c>
      <c r="D5" s="15" t="s">
        <v>97</v>
      </c>
    </row>
    <row r="6" customFormat="false" ht="15" hidden="false" customHeight="false" outlineLevel="0" collapsed="false">
      <c r="A6" s="15" t="s">
        <v>98</v>
      </c>
      <c r="B6" s="8" t="n">
        <v>1</v>
      </c>
      <c r="C6" s="15" t="s">
        <v>99</v>
      </c>
      <c r="D6" s="15" t="s">
        <v>97</v>
      </c>
    </row>
    <row r="7" customFormat="false" ht="15" hidden="false" customHeight="false" outlineLevel="0" collapsed="false">
      <c r="A7" s="15" t="s">
        <v>100</v>
      </c>
      <c r="B7" s="8" t="n">
        <v>1</v>
      </c>
      <c r="C7" s="15" t="s">
        <v>99</v>
      </c>
      <c r="D7" s="15" t="s">
        <v>101</v>
      </c>
    </row>
    <row r="8" customFormat="false" ht="15" hidden="false" customHeight="false" outlineLevel="0" collapsed="false">
      <c r="A8" s="15" t="s">
        <v>102</v>
      </c>
      <c r="B8" s="8" t="n">
        <v>1.1</v>
      </c>
      <c r="C8" s="15" t="s">
        <v>103</v>
      </c>
      <c r="D8" s="15" t="s">
        <v>97</v>
      </c>
    </row>
    <row r="9" customFormat="false" ht="15" hidden="false" customHeight="false" outlineLevel="0" collapsed="false">
      <c r="A9" s="15" t="s">
        <v>104</v>
      </c>
      <c r="B9" s="8" t="n">
        <v>1</v>
      </c>
      <c r="C9" s="15" t="s">
        <v>105</v>
      </c>
      <c r="D9" s="15" t="s">
        <v>97</v>
      </c>
    </row>
    <row r="10" customFormat="false" ht="15" hidden="false" customHeight="false" outlineLevel="0" collapsed="false">
      <c r="A10" s="15" t="s">
        <v>106</v>
      </c>
      <c r="B10" s="8" t="n">
        <v>1.1</v>
      </c>
      <c r="C10" s="15" t="s">
        <v>103</v>
      </c>
      <c r="D10" s="15" t="s">
        <v>107</v>
      </c>
    </row>
    <row r="11" customFormat="false" ht="15" hidden="false" customHeight="false" outlineLevel="0" collapsed="false">
      <c r="A11" s="15" t="s">
        <v>108</v>
      </c>
      <c r="B11" s="8" t="n">
        <v>1.4</v>
      </c>
      <c r="C11" s="15" t="s">
        <v>109</v>
      </c>
      <c r="D11" s="15" t="s">
        <v>110</v>
      </c>
    </row>
    <row r="12" customFormat="false" ht="15" hidden="false" customHeight="false" outlineLevel="0" collapsed="false">
      <c r="A12" s="16" t="s">
        <v>111</v>
      </c>
      <c r="B12" s="16"/>
      <c r="C12" s="16"/>
      <c r="D12" s="16"/>
    </row>
    <row r="13" customFormat="false" ht="15" hidden="false" customHeight="false" outlineLevel="0" collapsed="false">
      <c r="A13" s="15" t="s">
        <v>112</v>
      </c>
      <c r="B13" s="8" t="n">
        <v>0.12</v>
      </c>
      <c r="C13" s="15" t="s">
        <v>113</v>
      </c>
      <c r="D13" s="15" t="s">
        <v>97</v>
      </c>
    </row>
    <row r="14" customFormat="false" ht="15" hidden="false" customHeight="false" outlineLevel="0" collapsed="false">
      <c r="A14" s="15" t="s">
        <v>114</v>
      </c>
      <c r="B14" s="8" t="n">
        <v>0.17</v>
      </c>
      <c r="C14" s="15" t="s">
        <v>115</v>
      </c>
      <c r="D14" s="15" t="s">
        <v>97</v>
      </c>
    </row>
    <row r="15" customFormat="false" ht="15" hidden="false" customHeight="false" outlineLevel="0" collapsed="false">
      <c r="A15" s="15" t="s">
        <v>116</v>
      </c>
      <c r="B15" s="8" t="n">
        <v>0.19</v>
      </c>
      <c r="C15" s="15" t="s">
        <v>117</v>
      </c>
      <c r="D15" s="15" t="s">
        <v>118</v>
      </c>
    </row>
    <row r="16" customFormat="false" ht="15" hidden="false" customHeight="false" outlineLevel="0" collapsed="false">
      <c r="A16" s="15" t="s">
        <v>119</v>
      </c>
      <c r="B16" s="8" t="n">
        <v>0.17</v>
      </c>
      <c r="C16" s="15" t="s">
        <v>115</v>
      </c>
      <c r="D16" s="15" t="s">
        <v>97</v>
      </c>
    </row>
    <row r="17" customFormat="false" ht="15" hidden="false" customHeight="false" outlineLevel="0" collapsed="false">
      <c r="A17" s="15" t="s">
        <v>120</v>
      </c>
      <c r="B17" s="8" t="n">
        <v>0.17</v>
      </c>
      <c r="C17" s="15" t="s">
        <v>115</v>
      </c>
      <c r="D17" s="15" t="s">
        <v>121</v>
      </c>
    </row>
    <row r="18" customFormat="false" ht="15" hidden="false" customHeight="false" outlineLevel="0" collapsed="false">
      <c r="A18" s="15" t="s">
        <v>122</v>
      </c>
      <c r="B18" s="8" t="n">
        <v>0.25</v>
      </c>
      <c r="C18" s="15" t="s">
        <v>123</v>
      </c>
      <c r="D18" s="15" t="s">
        <v>97</v>
      </c>
    </row>
    <row r="19" customFormat="false" ht="15" hidden="false" customHeight="false" outlineLevel="0" collapsed="false">
      <c r="A19" s="15" t="s">
        <v>124</v>
      </c>
      <c r="B19" s="8" t="n">
        <v>0.34</v>
      </c>
      <c r="C19" s="15" t="s">
        <v>125</v>
      </c>
      <c r="D19" s="15" t="s">
        <v>97</v>
      </c>
    </row>
    <row r="20" customFormat="false" ht="15" hidden="false" customHeight="false" outlineLevel="0" collapsed="false">
      <c r="A20" s="16" t="s">
        <v>126</v>
      </c>
      <c r="B20" s="16"/>
      <c r="C20" s="16"/>
      <c r="D20" s="16"/>
    </row>
    <row r="21" customFormat="false" ht="15" hidden="false" customHeight="false" outlineLevel="0" collapsed="false">
      <c r="A21" s="15" t="s">
        <v>127</v>
      </c>
      <c r="B21" s="8" t="n">
        <v>0.24</v>
      </c>
      <c r="C21" s="15" t="s">
        <v>128</v>
      </c>
      <c r="D21" s="15" t="s">
        <v>129</v>
      </c>
    </row>
    <row r="22" customFormat="false" ht="15" hidden="false" customHeight="false" outlineLevel="0" collapsed="false">
      <c r="A22" s="15" t="s">
        <v>130</v>
      </c>
      <c r="B22" s="8" t="n">
        <v>0.2</v>
      </c>
      <c r="C22" s="15" t="s">
        <v>131</v>
      </c>
      <c r="D22" s="15" t="s">
        <v>132</v>
      </c>
    </row>
    <row r="23" customFormat="false" ht="15" hidden="false" customHeight="false" outlineLevel="0" collapsed="false">
      <c r="A23" s="15" t="s">
        <v>133</v>
      </c>
      <c r="B23" s="8" t="n">
        <v>0.15</v>
      </c>
      <c r="C23" s="15" t="s">
        <v>134</v>
      </c>
      <c r="D23" s="15" t="s">
        <v>97</v>
      </c>
    </row>
    <row r="24" customFormat="false" ht="15" hidden="false" customHeight="false" outlineLevel="0" collapsed="false">
      <c r="A24" s="15" t="s">
        <v>135</v>
      </c>
      <c r="B24" s="8" t="n">
        <v>0.06</v>
      </c>
      <c r="C24" s="15" t="s">
        <v>136</v>
      </c>
      <c r="D24" s="15" t="s">
        <v>137</v>
      </c>
    </row>
    <row r="25" customFormat="false" ht="15" hidden="false" customHeight="false" outlineLevel="0" collapsed="false">
      <c r="A25" s="15" t="s">
        <v>138</v>
      </c>
      <c r="B25" s="8" t="n">
        <v>0.08</v>
      </c>
      <c r="C25" s="15" t="s">
        <v>139</v>
      </c>
      <c r="D25" s="15" t="s">
        <v>97</v>
      </c>
    </row>
    <row r="26" customFormat="false" ht="15" hidden="false" customHeight="false" outlineLevel="0" collapsed="false">
      <c r="A26" s="16" t="s">
        <v>140</v>
      </c>
      <c r="B26" s="16"/>
      <c r="C26" s="16"/>
      <c r="D26" s="16"/>
    </row>
    <row r="27" customFormat="false" ht="15" hidden="false" customHeight="false" outlineLevel="0" collapsed="false">
      <c r="A27" s="15" t="s">
        <v>141</v>
      </c>
      <c r="B27" s="8" t="n">
        <v>0.36</v>
      </c>
      <c r="C27" s="15" t="s">
        <v>142</v>
      </c>
      <c r="D27" s="15" t="s">
        <v>97</v>
      </c>
    </row>
    <row r="28" customFormat="false" ht="15" hidden="false" customHeight="false" outlineLevel="0" collapsed="false">
      <c r="A28" s="15" t="s">
        <v>143</v>
      </c>
      <c r="B28" s="8" t="n">
        <v>0.34</v>
      </c>
      <c r="C28" s="15" t="s">
        <v>125</v>
      </c>
      <c r="D28" s="15" t="s">
        <v>97</v>
      </c>
    </row>
    <row r="29" customFormat="false" ht="15" hidden="false" customHeight="false" outlineLevel="0" collapsed="false">
      <c r="A29" s="16" t="s">
        <v>144</v>
      </c>
      <c r="B29" s="16"/>
      <c r="C29" s="16"/>
      <c r="D29" s="16"/>
    </row>
    <row r="30" customFormat="false" ht="15" hidden="false" customHeight="false" outlineLevel="0" collapsed="false">
      <c r="A30" s="15" t="s">
        <v>145</v>
      </c>
      <c r="B30" s="8" t="n">
        <v>0.02</v>
      </c>
      <c r="C30" s="15" t="s">
        <v>146</v>
      </c>
      <c r="D30" s="15" t="s">
        <v>97</v>
      </c>
    </row>
    <row r="31" customFormat="false" ht="15" hidden="false" customHeight="false" outlineLevel="0" collapsed="false">
      <c r="A31" s="15" t="s">
        <v>147</v>
      </c>
      <c r="B31" s="8" t="n">
        <v>0.03</v>
      </c>
      <c r="C31" s="15" t="s">
        <v>148</v>
      </c>
      <c r="D31" s="15" t="s">
        <v>149</v>
      </c>
    </row>
    <row r="32" customFormat="false" ht="15" hidden="false" customHeight="false" outlineLevel="0" collapsed="false">
      <c r="A32" s="15" t="s">
        <v>150</v>
      </c>
      <c r="B32" s="8" t="n">
        <v>0.02</v>
      </c>
      <c r="C32" s="15" t="s">
        <v>151</v>
      </c>
      <c r="D32" s="15" t="s">
        <v>97</v>
      </c>
    </row>
    <row r="33" customFormat="false" ht="15" hidden="false" customHeight="false" outlineLevel="0" collapsed="false">
      <c r="A33" s="15" t="s">
        <v>152</v>
      </c>
      <c r="B33" s="8" t="n">
        <v>0.1</v>
      </c>
      <c r="C33" s="15" t="s">
        <v>153</v>
      </c>
      <c r="D33" s="15" t="s">
        <v>97</v>
      </c>
    </row>
    <row r="34" customFormat="false" ht="15" hidden="false" customHeight="false" outlineLevel="0" collapsed="false">
      <c r="A34" s="15" t="s">
        <v>154</v>
      </c>
      <c r="B34" s="8" t="n">
        <v>0.02</v>
      </c>
      <c r="C34" s="15" t="s">
        <v>155</v>
      </c>
      <c r="D34" s="15" t="s">
        <v>156</v>
      </c>
    </row>
    <row r="35" customFormat="false" ht="15" hidden="false" customHeight="false" outlineLevel="0" collapsed="false">
      <c r="A35" s="15" t="s">
        <v>157</v>
      </c>
      <c r="B35" s="8" t="n">
        <v>0.04</v>
      </c>
      <c r="C35" s="15" t="s">
        <v>158</v>
      </c>
      <c r="D35" s="15" t="s">
        <v>159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" t="s">
        <v>160</v>
      </c>
    </row>
    <row r="3" customFormat="false" ht="45.75" hidden="false" customHeight="true" outlineLevel="0" collapsed="false">
      <c r="A3" s="17" t="s">
        <v>161</v>
      </c>
    </row>
    <row r="4" customFormat="false" ht="45.75" hidden="false" customHeight="true" outlineLevel="0" collapsed="false">
      <c r="A4" s="17" t="s">
        <v>162</v>
      </c>
    </row>
    <row r="5" customFormat="false" ht="45.75" hidden="false" customHeight="true" outlineLevel="0" collapsed="false">
      <c r="A5" s="17" t="s">
        <v>163</v>
      </c>
    </row>
    <row r="6" customFormat="false" ht="45.75" hidden="false" customHeight="true" outlineLevel="0" collapsed="false">
      <c r="A6" s="17" t="s">
        <v>164</v>
      </c>
    </row>
    <row r="7" customFormat="false" ht="45.75" hidden="false" customHeight="true" outlineLevel="0" collapsed="false">
      <c r="A7" s="17" t="s">
        <v>165</v>
      </c>
    </row>
    <row r="8" customFormat="false" ht="45.75" hidden="false" customHeight="true" outlineLevel="0" collapsed="false">
      <c r="A8" s="17" t="s">
        <v>166</v>
      </c>
    </row>
    <row r="9" customFormat="false" ht="45.75" hidden="false" customHeight="true" outlineLevel="0" collapsed="false">
      <c r="A9" s="17" t="s">
        <v>167</v>
      </c>
    </row>
    <row r="10" customFormat="false" ht="45.75" hidden="false" customHeight="true" outlineLevel="0" collapsed="false">
      <c r="A10" s="17" t="s">
        <v>168</v>
      </c>
    </row>
    <row r="11" customFormat="false" ht="45.75" hidden="false" customHeight="true" outlineLevel="0" collapsed="false">
      <c r="A11" s="17" t="s">
        <v>169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2026-10-02T02:14:05Z</dcterms:created>
  <dc:creator>openpyxl</dc:creator>
  <dc:description/>
  <dc:language>en-US</dc:language>
  <cp:lastModifiedBy/>
  <dcterms:modified xsi:type="dcterms:W3CDTF">2026-10-01T23:31:15Z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